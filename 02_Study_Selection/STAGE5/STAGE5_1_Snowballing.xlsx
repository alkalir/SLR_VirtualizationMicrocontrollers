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01_Progetti_PC\2026_SLR_CoWork\SLR_Database\02_Study Selection and Quality Assessment Process\STAGE5\"/>
    </mc:Choice>
  </mc:AlternateContent>
  <xr:revisionPtr revIDLastSave="0" documentId="13_ncr:1_{4E3CDB1D-4FC2-4315-8BC1-571AEB093C63}" xr6:coauthVersionLast="47" xr6:coauthVersionMax="47" xr10:uidLastSave="{00000000-0000-0000-0000-000000000000}"/>
  <bookViews>
    <workbookView xWindow="43080" yWindow="2970" windowWidth="38640" windowHeight="21120" xr2:uid="{00000000-000D-0000-FFFF-FFFF00000000}"/>
  </bookViews>
  <sheets>
    <sheet name="STAGE 5.1 - FW BW Snowballing"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539" i="1" l="1"/>
  <c r="A540" i="1" s="1"/>
  <c r="A541" i="1" s="1"/>
  <c r="A542" i="1" s="1"/>
  <c r="A543" i="1" s="1"/>
  <c r="A544" i="1" s="1"/>
  <c r="A545" i="1" s="1"/>
  <c r="A546" i="1" s="1"/>
  <c r="A547" i="1" s="1"/>
  <c r="A548" i="1" s="1"/>
  <c r="A549" i="1" s="1"/>
  <c r="A550" i="1" s="1"/>
  <c r="A551" i="1" s="1"/>
  <c r="A552" i="1" s="1"/>
  <c r="A553" i="1" s="1"/>
  <c r="A554" i="1" s="1"/>
  <c r="A555" i="1" s="1"/>
  <c r="A556" i="1" s="1"/>
  <c r="A557" i="1" s="1"/>
  <c r="A558" i="1" s="1"/>
  <c r="A559" i="1" s="1"/>
  <c r="A560" i="1" s="1"/>
  <c r="A561" i="1" s="1"/>
  <c r="A562" i="1" s="1"/>
  <c r="A563" i="1" s="1"/>
  <c r="A564" i="1" s="1"/>
  <c r="A565" i="1" s="1"/>
  <c r="A566" i="1" s="1"/>
  <c r="A567" i="1" s="1"/>
  <c r="A574" i="1" s="1"/>
  <c r="A575" i="1" s="1"/>
  <c r="A576" i="1" s="1"/>
  <c r="A577" i="1" s="1"/>
  <c r="A578" i="1" s="1"/>
  <c r="A579" i="1" s="1"/>
  <c r="A580" i="1" s="1"/>
  <c r="A581" i="1" s="1"/>
  <c r="A582" i="1" s="1"/>
  <c r="A583" i="1" s="1"/>
  <c r="A584" i="1" s="1"/>
  <c r="A585" i="1" s="1"/>
  <c r="A586" i="1" s="1"/>
  <c r="A587" i="1" s="1"/>
  <c r="A65" i="1"/>
  <c r="A66" i="1" s="1"/>
  <c r="A67" i="1" s="1"/>
  <c r="A68" i="1" s="1"/>
  <c r="A69" i="1" s="1"/>
  <c r="A70" i="1" s="1"/>
  <c r="A71" i="1" s="1"/>
  <c r="A72" i="1" s="1"/>
  <c r="A73" i="1" s="1"/>
  <c r="A74" i="1" s="1"/>
  <c r="A75" i="1" s="1"/>
  <c r="A76" i="1" s="1"/>
  <c r="A77" i="1" s="1"/>
  <c r="A78" i="1" s="1"/>
  <c r="A79" i="1" s="1"/>
  <c r="A80" i="1" s="1"/>
  <c r="A81" i="1" s="1"/>
  <c r="A82" i="1" s="1"/>
  <c r="A83" i="1" s="1"/>
  <c r="A84" i="1" s="1"/>
  <c r="A85" i="1" s="1"/>
  <c r="A86" i="1" s="1"/>
  <c r="A87" i="1" s="1"/>
  <c r="A88" i="1" s="1"/>
  <c r="A89" i="1" s="1"/>
  <c r="A90" i="1" s="1"/>
  <c r="A91" i="1" s="1"/>
  <c r="A92" i="1" s="1"/>
  <c r="A93" i="1" s="1"/>
  <c r="A94" i="1" s="1"/>
  <c r="A101" i="1" s="1"/>
  <c r="A102" i="1" s="1"/>
  <c r="A103" i="1" s="1"/>
  <c r="A104" i="1" s="1"/>
  <c r="A105" i="1" s="1"/>
  <c r="A106" i="1" s="1"/>
  <c r="A107" i="1" s="1"/>
  <c r="A108" i="1" s="1"/>
  <c r="A109" i="1" s="1"/>
  <c r="A110" i="1" s="1"/>
  <c r="A111" i="1" s="1"/>
  <c r="A112" i="1" s="1"/>
  <c r="A113" i="1" s="1"/>
  <c r="A114" i="1" s="1"/>
  <c r="A115" i="1" s="1"/>
  <c r="A116" i="1" s="1"/>
  <c r="A117" i="1" s="1"/>
  <c r="A118" i="1" s="1"/>
  <c r="A119" i="1" s="1"/>
  <c r="A120" i="1" s="1"/>
  <c r="A121" i="1" s="1"/>
  <c r="A122" i="1" s="1"/>
  <c r="A123" i="1" s="1"/>
  <c r="A124" i="1" s="1"/>
  <c r="A125" i="1" s="1"/>
  <c r="A126" i="1" s="1"/>
  <c r="A127" i="1" s="1"/>
  <c r="A128" i="1" s="1"/>
  <c r="A129" i="1" s="1"/>
  <c r="A130" i="1" s="1"/>
  <c r="A131" i="1" s="1"/>
  <c r="A132" i="1" s="1"/>
  <c r="A133" i="1" s="1"/>
  <c r="A134" i="1" s="1"/>
  <c r="A135" i="1" s="1"/>
  <c r="A136" i="1" s="1"/>
  <c r="A137" i="1" s="1"/>
  <c r="A138" i="1" s="1"/>
  <c r="A139" i="1" s="1"/>
  <c r="A140" i="1" s="1"/>
  <c r="A141" i="1" s="1"/>
  <c r="A142" i="1" s="1"/>
  <c r="A143" i="1" s="1"/>
  <c r="A144" i="1" s="1"/>
  <c r="A145" i="1" s="1"/>
  <c r="A146" i="1" s="1"/>
  <c r="A147" i="1" s="1"/>
  <c r="A148" i="1" s="1"/>
  <c r="A149" i="1" s="1"/>
  <c r="A150" i="1" s="1"/>
  <c r="A151" i="1" s="1"/>
  <c r="A152" i="1" s="1"/>
  <c r="A153" i="1" s="1"/>
  <c r="A154" i="1" s="1"/>
  <c r="A155" i="1" s="1"/>
  <c r="A156" i="1" s="1"/>
  <c r="A157" i="1" s="1"/>
  <c r="A158" i="1" s="1"/>
  <c r="A159" i="1" s="1"/>
  <c r="A160" i="1" s="1"/>
  <c r="A167" i="1" s="1"/>
  <c r="A168" i="1" s="1"/>
  <c r="A169" i="1" s="1"/>
  <c r="A170" i="1" s="1"/>
  <c r="A171" i="1" s="1"/>
  <c r="A172" i="1" s="1"/>
  <c r="A173" i="1" s="1"/>
  <c r="A174" i="1" s="1"/>
  <c r="A175" i="1" s="1"/>
  <c r="A176" i="1" s="1"/>
  <c r="A177" i="1" s="1"/>
  <c r="A178" i="1" s="1"/>
  <c r="A179" i="1" s="1"/>
  <c r="A180" i="1" s="1"/>
  <c r="A181" i="1" s="1"/>
  <c r="A182" i="1" s="1"/>
  <c r="A183" i="1" s="1"/>
  <c r="A184" i="1" s="1"/>
  <c r="A185" i="1" s="1"/>
  <c r="A186" i="1" s="1"/>
  <c r="A187" i="1" s="1"/>
  <c r="A188" i="1" s="1"/>
  <c r="A189" i="1" s="1"/>
  <c r="A190" i="1" s="1"/>
  <c r="A191" i="1" s="1"/>
  <c r="A192" i="1" s="1"/>
  <c r="A193" i="1" s="1"/>
  <c r="A194" i="1" s="1"/>
  <c r="A195" i="1" s="1"/>
  <c r="A196" i="1" s="1"/>
  <c r="A197" i="1" s="1"/>
  <c r="A198" i="1" s="1"/>
  <c r="A199" i="1" s="1"/>
  <c r="A200" i="1" s="1"/>
  <c r="A201" i="1" s="1"/>
  <c r="A202" i="1" s="1"/>
  <c r="A203" i="1" s="1"/>
  <c r="A204" i="1" s="1"/>
  <c r="A205" i="1" s="1"/>
  <c r="A206" i="1" s="1"/>
  <c r="A207" i="1" s="1"/>
  <c r="A208" i="1" s="1"/>
  <c r="A209" i="1" s="1"/>
  <c r="A210" i="1" s="1"/>
  <c r="A211" i="1" s="1"/>
  <c r="A212" i="1" s="1"/>
  <c r="A213" i="1" s="1"/>
  <c r="A214" i="1" s="1"/>
  <c r="A215" i="1" s="1"/>
  <c r="A216" i="1" s="1"/>
  <c r="A217" i="1" s="1"/>
  <c r="A218" i="1" s="1"/>
  <c r="A219" i="1" s="1"/>
  <c r="A220" i="1" s="1"/>
  <c r="A221" i="1" s="1"/>
  <c r="A222" i="1" s="1"/>
  <c r="A223" i="1" s="1"/>
  <c r="A224" i="1" s="1"/>
  <c r="A225" i="1" s="1"/>
  <c r="A226" i="1" s="1"/>
  <c r="A227" i="1" s="1"/>
  <c r="A228" i="1" s="1"/>
  <c r="A229" i="1" s="1"/>
  <c r="A230" i="1" s="1"/>
  <c r="A231" i="1" s="1"/>
  <c r="A232" i="1" s="1"/>
  <c r="A233" i="1" s="1"/>
  <c r="A234" i="1" s="1"/>
  <c r="A235" i="1" s="1"/>
  <c r="A236" i="1" s="1"/>
  <c r="A237" i="1" s="1"/>
  <c r="A238" i="1" s="1"/>
  <c r="A239" i="1" s="1"/>
  <c r="A240" i="1" s="1"/>
  <c r="A241" i="1" s="1"/>
  <c r="A242" i="1" s="1"/>
  <c r="A243" i="1" s="1"/>
  <c r="A244" i="1" s="1"/>
  <c r="A245" i="1" s="1"/>
  <c r="A246" i="1" s="1"/>
  <c r="A247" i="1" s="1"/>
  <c r="A248" i="1" s="1"/>
  <c r="A249" i="1" s="1"/>
  <c r="A250" i="1" s="1"/>
  <c r="A251" i="1" s="1"/>
  <c r="A252" i="1" s="1"/>
  <c r="A253" i="1" s="1"/>
  <c r="A254" i="1" s="1"/>
  <c r="A255" i="1" s="1"/>
  <c r="A256" i="1" s="1"/>
  <c r="A257" i="1" s="1"/>
  <c r="A258" i="1" s="1"/>
  <c r="A259" i="1" s="1"/>
  <c r="A260" i="1" s="1"/>
  <c r="A261" i="1" s="1"/>
  <c r="A262" i="1" s="1"/>
  <c r="A263" i="1" s="1"/>
  <c r="A264" i="1" s="1"/>
  <c r="A265" i="1" s="1"/>
  <c r="A266" i="1" s="1"/>
  <c r="A267" i="1" s="1"/>
  <c r="A268" i="1" s="1"/>
  <c r="A269" i="1" s="1"/>
  <c r="A270" i="1" s="1"/>
  <c r="A271" i="1" s="1"/>
  <c r="A272" i="1" s="1"/>
  <c r="A279" i="1" s="1"/>
  <c r="A280" i="1" s="1"/>
  <c r="A281" i="1" s="1"/>
  <c r="A282" i="1" s="1"/>
  <c r="A283" i="1" s="1"/>
  <c r="A284" i="1" s="1"/>
  <c r="A285" i="1" s="1"/>
  <c r="A286" i="1" s="1"/>
  <c r="A287" i="1" s="1"/>
  <c r="A288" i="1" s="1"/>
  <c r="A289" i="1" s="1"/>
  <c r="A290" i="1" s="1"/>
  <c r="A297" i="1" s="1"/>
  <c r="A298" i="1" s="1"/>
  <c r="A299" i="1" s="1"/>
  <c r="A300" i="1" s="1"/>
  <c r="A301" i="1" s="1"/>
  <c r="A302" i="1" s="1"/>
  <c r="A303" i="1" s="1"/>
  <c r="A304" i="1" s="1"/>
  <c r="A305" i="1" s="1"/>
  <c r="A306" i="1" s="1"/>
  <c r="A307" i="1" s="1"/>
  <c r="A308" i="1" s="1"/>
  <c r="A309" i="1" s="1"/>
  <c r="A310" i="1" s="1"/>
  <c r="A311" i="1" s="1"/>
  <c r="A312" i="1" s="1"/>
  <c r="A313" i="1" s="1"/>
  <c r="A314" i="1" s="1"/>
  <c r="A315" i="1" s="1"/>
  <c r="A316" i="1" s="1"/>
  <c r="A317" i="1" s="1"/>
  <c r="A318" i="1" s="1"/>
  <c r="A319" i="1" s="1"/>
  <c r="A320" i="1" s="1"/>
  <c r="A321" i="1" s="1"/>
  <c r="A322" i="1" s="1"/>
  <c r="A323" i="1" s="1"/>
  <c r="A324" i="1" s="1"/>
  <c r="A325" i="1" s="1"/>
  <c r="A326" i="1" s="1"/>
  <c r="A327" i="1" s="1"/>
  <c r="A328" i="1" s="1"/>
  <c r="A329" i="1" s="1"/>
  <c r="A330" i="1" s="1"/>
  <c r="A331" i="1" s="1"/>
  <c r="A332" i="1" s="1"/>
  <c r="A333" i="1" s="1"/>
  <c r="A334" i="1" s="1"/>
  <c r="A335" i="1" s="1"/>
  <c r="A336" i="1" s="1"/>
  <c r="A337" i="1" s="1"/>
  <c r="A338" i="1" s="1"/>
  <c r="A339" i="1" s="1"/>
  <c r="A340" i="1" s="1"/>
  <c r="A341" i="1" s="1"/>
  <c r="A342" i="1" s="1"/>
  <c r="A343" i="1" s="1"/>
  <c r="A344" i="1" s="1"/>
  <c r="A345" i="1" s="1"/>
  <c r="A346" i="1" s="1"/>
  <c r="A347" i="1" s="1"/>
  <c r="A348" i="1" s="1"/>
  <c r="A349" i="1" s="1"/>
  <c r="A356" i="1" s="1"/>
  <c r="A357" i="1" s="1"/>
  <c r="A358" i="1" s="1"/>
  <c r="A359" i="1" s="1"/>
  <c r="A360" i="1" s="1"/>
  <c r="A361" i="1" s="1"/>
  <c r="A362" i="1" s="1"/>
  <c r="A363" i="1" s="1"/>
  <c r="A370" i="1" s="1"/>
  <c r="A371" i="1" s="1"/>
  <c r="A372" i="1" s="1"/>
  <c r="A373" i="1" s="1"/>
  <c r="A374" i="1" s="1"/>
  <c r="A375" i="1" s="1"/>
  <c r="A376" i="1" s="1"/>
  <c r="A377" i="1" s="1"/>
  <c r="A378" i="1" s="1"/>
  <c r="A379" i="1" s="1"/>
  <c r="A380" i="1" s="1"/>
  <c r="A381" i="1" s="1"/>
  <c r="A382" i="1" s="1"/>
  <c r="A383" i="1" s="1"/>
  <c r="A384" i="1" s="1"/>
  <c r="A385" i="1" s="1"/>
  <c r="A386" i="1" s="1"/>
  <c r="A387" i="1" s="1"/>
  <c r="A388" i="1" s="1"/>
  <c r="A389" i="1" s="1"/>
  <c r="A390" i="1" s="1"/>
  <c r="A391" i="1" s="1"/>
  <c r="A392" i="1" s="1"/>
  <c r="A393" i="1" s="1"/>
  <c r="A394" i="1" s="1"/>
  <c r="A395" i="1" s="1"/>
  <c r="A396" i="1" s="1"/>
  <c r="A397" i="1" s="1"/>
  <c r="A398" i="1" s="1"/>
  <c r="A399" i="1" s="1"/>
  <c r="A400" i="1" s="1"/>
  <c r="A401" i="1" s="1"/>
  <c r="A402" i="1" s="1"/>
  <c r="A403" i="1" s="1"/>
  <c r="A404" i="1" s="1"/>
  <c r="A405" i="1" s="1"/>
  <c r="A406" i="1" s="1"/>
  <c r="A407" i="1" s="1"/>
  <c r="A408" i="1" s="1"/>
  <c r="A409" i="1" s="1"/>
  <c r="A410" i="1" s="1"/>
  <c r="A411" i="1" s="1"/>
  <c r="A412" i="1" s="1"/>
  <c r="A413" i="1" s="1"/>
  <c r="A414" i="1" s="1"/>
  <c r="A415" i="1" s="1"/>
  <c r="A416" i="1" s="1"/>
  <c r="A417" i="1" s="1"/>
  <c r="A418" i="1" s="1"/>
  <c r="A419" i="1" s="1"/>
  <c r="A420" i="1" s="1"/>
  <c r="A421" i="1" s="1"/>
  <c r="A422" i="1" s="1"/>
  <c r="A423" i="1" s="1"/>
  <c r="A424" i="1" s="1"/>
  <c r="A425" i="1" s="1"/>
  <c r="A426" i="1" s="1"/>
  <c r="A427" i="1" s="1"/>
  <c r="A428" i="1" s="1"/>
  <c r="A429" i="1" s="1"/>
  <c r="A436" i="1" s="1"/>
  <c r="A437" i="1" s="1"/>
  <c r="A438" i="1" s="1"/>
  <c r="A439" i="1" s="1"/>
  <c r="A440" i="1" s="1"/>
  <c r="A441" i="1" s="1"/>
  <c r="A442" i="1" s="1"/>
  <c r="A443" i="1" s="1"/>
  <c r="A444" i="1" s="1"/>
  <c r="A445" i="1" s="1"/>
  <c r="A446" i="1" s="1"/>
  <c r="A447" i="1" s="1"/>
  <c r="A448" i="1" s="1"/>
  <c r="A449" i="1" s="1"/>
  <c r="A450" i="1" s="1"/>
  <c r="A451" i="1" s="1"/>
  <c r="A452" i="1" s="1"/>
  <c r="A453" i="1" s="1"/>
  <c r="A454" i="1" s="1"/>
  <c r="A455" i="1" s="1"/>
  <c r="A456" i="1" s="1"/>
  <c r="A457" i="1" s="1"/>
  <c r="A458" i="1" s="1"/>
  <c r="A459" i="1" s="1"/>
  <c r="A460" i="1" s="1"/>
  <c r="A461" i="1" s="1"/>
  <c r="A462" i="1" s="1"/>
  <c r="A463" i="1" s="1"/>
  <c r="A464" i="1" s="1"/>
  <c r="A465" i="1" s="1"/>
  <c r="A466" i="1" s="1"/>
  <c r="A467" i="1" s="1"/>
  <c r="A468" i="1" s="1"/>
  <c r="A469" i="1" s="1"/>
  <c r="A470" i="1" s="1"/>
  <c r="A471" i="1" s="1"/>
  <c r="A472" i="1" s="1"/>
  <c r="A473" i="1" s="1"/>
  <c r="A474" i="1" s="1"/>
  <c r="A475" i="1" s="1"/>
  <c r="A476" i="1" s="1"/>
  <c r="A477" i="1" s="1"/>
  <c r="A478" i="1" s="1"/>
  <c r="A479" i="1" s="1"/>
  <c r="A480" i="1" s="1"/>
  <c r="A481" i="1" s="1"/>
  <c r="A482" i="1" s="1"/>
  <c r="A483" i="1" s="1"/>
  <c r="A484" i="1" s="1"/>
  <c r="A485" i="1" s="1"/>
  <c r="A486" i="1" s="1"/>
  <c r="A487" i="1" s="1"/>
  <c r="A488" i="1" s="1"/>
  <c r="A489" i="1" s="1"/>
  <c r="A490" i="1" s="1"/>
  <c r="A491" i="1" s="1"/>
  <c r="A492" i="1" s="1"/>
  <c r="A493" i="1" s="1"/>
  <c r="A494" i="1" s="1"/>
  <c r="A495" i="1" s="1"/>
  <c r="A496" i="1" s="1"/>
  <c r="A497" i="1" s="1"/>
  <c r="A498" i="1" s="1"/>
  <c r="A499" i="1" s="1"/>
  <c r="A500" i="1" s="1"/>
  <c r="A501" i="1" s="1"/>
  <c r="A502" i="1" s="1"/>
  <c r="A503" i="1" s="1"/>
  <c r="A504" i="1" s="1"/>
  <c r="A505" i="1" s="1"/>
  <c r="A506" i="1" s="1"/>
  <c r="A507" i="1" s="1"/>
  <c r="A508" i="1" s="1"/>
  <c r="A509" i="1" s="1"/>
  <c r="A510" i="1" s="1"/>
  <c r="A511" i="1" s="1"/>
  <c r="A512" i="1" s="1"/>
  <c r="A513" i="1" s="1"/>
  <c r="A514" i="1" s="1"/>
  <c r="A515" i="1" s="1"/>
  <c r="A516" i="1" s="1"/>
  <c r="A517" i="1" s="1"/>
  <c r="A518" i="1" s="1"/>
  <c r="A519" i="1" s="1"/>
  <c r="A520" i="1" s="1"/>
  <c r="A521" i="1" s="1"/>
  <c r="A522" i="1" s="1"/>
  <c r="A523" i="1" s="1"/>
  <c r="A524" i="1" s="1"/>
  <c r="A525" i="1" s="1"/>
  <c r="A526" i="1" s="1"/>
  <c r="A527" i="1" s="1"/>
  <c r="A528" i="1" s="1"/>
  <c r="A529" i="1" s="1"/>
  <c r="A530" i="1" s="1"/>
  <c r="A531" i="1" s="1"/>
  <c r="A595" i="1" s="1"/>
  <c r="A596" i="1" s="1"/>
  <c r="A597" i="1" s="1"/>
  <c r="A598" i="1" s="1"/>
  <c r="A599" i="1" s="1"/>
  <c r="A600" i="1" s="1"/>
  <c r="A601" i="1" s="1"/>
  <c r="A602" i="1" s="1"/>
  <c r="A603" i="1" s="1"/>
  <c r="A604" i="1" s="1"/>
  <c r="A605" i="1" s="1"/>
  <c r="A606" i="1" s="1"/>
  <c r="A607" i="1" s="1"/>
  <c r="A608" i="1" s="1"/>
  <c r="A609" i="1" s="1"/>
  <c r="A610" i="1" s="1"/>
  <c r="A611" i="1" s="1"/>
  <c r="A612" i="1" s="1"/>
  <c r="A613" i="1" s="1"/>
  <c r="A614" i="1" s="1"/>
  <c r="A615" i="1" s="1"/>
  <c r="A616" i="1" s="1"/>
  <c r="A617" i="1" s="1"/>
  <c r="A618" i="1" s="1"/>
  <c r="A619" i="1" s="1"/>
  <c r="A620" i="1" s="1"/>
  <c r="A621" i="1" s="1"/>
  <c r="A622" i="1" s="1"/>
  <c r="A623" i="1" s="1"/>
  <c r="A624" i="1" s="1"/>
  <c r="A625" i="1" s="1"/>
  <c r="A626" i="1" s="1"/>
  <c r="A627" i="1" s="1"/>
  <c r="A628" i="1" s="1"/>
  <c r="A629" i="1" s="1"/>
  <c r="A630" i="1" s="1"/>
  <c r="A631" i="1" s="1"/>
  <c r="A632" i="1" s="1"/>
  <c r="A633" i="1" s="1"/>
  <c r="A634" i="1" s="1"/>
  <c r="A635" i="1" s="1"/>
  <c r="A636" i="1" s="1"/>
  <c r="A637" i="1" s="1"/>
  <c r="A638" i="1" s="1"/>
  <c r="A639" i="1" s="1"/>
  <c r="A640" i="1" s="1"/>
  <c r="A641" i="1" s="1"/>
  <c r="A642" i="1" s="1"/>
  <c r="A643" i="1" s="1"/>
  <c r="A644" i="1" s="1"/>
  <c r="A645" i="1" s="1"/>
  <c r="A646" i="1" s="1"/>
  <c r="A647" i="1" s="1"/>
  <c r="A648" i="1" s="1"/>
  <c r="A649" i="1" s="1"/>
  <c r="A650" i="1" s="1"/>
  <c r="A651" i="1" s="1"/>
  <c r="A652" i="1" s="1"/>
  <c r="A653" i="1" s="1"/>
  <c r="A654" i="1" s="1"/>
  <c r="A655" i="1" s="1"/>
  <c r="A656" i="1" s="1"/>
  <c r="A657" i="1" s="1"/>
  <c r="A658" i="1" s="1"/>
  <c r="A659" i="1" s="1"/>
  <c r="A660" i="1" s="1"/>
  <c r="A661" i="1" s="1"/>
  <c r="A662" i="1" s="1"/>
  <c r="A663" i="1" s="1"/>
  <c r="A664" i="1" s="1"/>
  <c r="A665" i="1" s="1"/>
  <c r="A666" i="1" s="1"/>
  <c r="A667" i="1" s="1"/>
  <c r="A668" i="1" s="1"/>
  <c r="A669" i="1" s="1"/>
  <c r="A670" i="1" s="1"/>
  <c r="A671" i="1" s="1"/>
  <c r="A672" i="1" s="1"/>
  <c r="A673" i="1" s="1"/>
  <c r="A674" i="1" s="1"/>
  <c r="A675" i="1" s="1"/>
  <c r="A676" i="1" s="1"/>
  <c r="A677" i="1" s="1"/>
  <c r="A678" i="1" s="1"/>
  <c r="A679" i="1" s="1"/>
  <c r="A680" i="1" s="1"/>
  <c r="A681" i="1" s="1"/>
  <c r="A682" i="1" s="1"/>
  <c r="A683" i="1" s="1"/>
  <c r="A684" i="1" s="1"/>
  <c r="A685" i="1" s="1"/>
  <c r="A686" i="1" s="1"/>
  <c r="A687" i="1" s="1"/>
  <c r="A688" i="1" s="1"/>
  <c r="A689" i="1" s="1"/>
  <c r="A690" i="1" s="1"/>
  <c r="A691" i="1" s="1"/>
  <c r="A692" i="1" s="1"/>
  <c r="A693" i="1" s="1"/>
  <c r="A694" i="1" s="1"/>
  <c r="A695" i="1" s="1"/>
  <c r="A696" i="1" s="1"/>
  <c r="A697" i="1" s="1"/>
  <c r="A698" i="1" s="1"/>
  <c r="A699" i="1" s="1"/>
  <c r="A700" i="1" s="1"/>
  <c r="A701" i="1" s="1"/>
  <c r="A702" i="1" s="1"/>
  <c r="A703" i="1" s="1"/>
  <c r="A704" i="1" s="1"/>
  <c r="A705" i="1" s="1"/>
  <c r="A706" i="1" s="1"/>
  <c r="A707" i="1" s="1"/>
  <c r="A708" i="1" s="1"/>
  <c r="A709" i="1" s="1"/>
  <c r="A710" i="1" s="1"/>
  <c r="A711" i="1" s="1"/>
  <c r="A712" i="1" s="1"/>
  <c r="A719" i="1" s="1"/>
  <c r="A720" i="1" s="1"/>
  <c r="A721" i="1" s="1"/>
  <c r="A722" i="1" s="1"/>
  <c r="A723" i="1" s="1"/>
  <c r="A724" i="1" s="1"/>
  <c r="A725" i="1" s="1"/>
  <c r="A726" i="1" s="1"/>
  <c r="A727" i="1" s="1"/>
  <c r="A728" i="1" s="1"/>
  <c r="A729" i="1" s="1"/>
  <c r="A730" i="1" s="1"/>
  <c r="A731" i="1" s="1"/>
  <c r="A732" i="1" s="1"/>
  <c r="A733" i="1" s="1"/>
  <c r="A734" i="1" s="1"/>
  <c r="A735" i="1" s="1"/>
  <c r="A736" i="1" s="1"/>
  <c r="A737" i="1" s="1"/>
  <c r="A738" i="1" s="1"/>
  <c r="A739" i="1" s="1"/>
  <c r="A740" i="1" s="1"/>
  <c r="A741" i="1" s="1"/>
  <c r="A742" i="1" s="1"/>
  <c r="A743" i="1" s="1"/>
  <c r="A744" i="1" s="1"/>
  <c r="A745" i="1" s="1"/>
  <c r="A746" i="1" s="1"/>
  <c r="A747" i="1" s="1"/>
  <c r="A748" i="1" s="1"/>
  <c r="A749" i="1" s="1"/>
  <c r="A750" i="1" s="1"/>
  <c r="A751" i="1" s="1"/>
  <c r="A752" i="1" s="1"/>
  <c r="A753" i="1" s="1"/>
  <c r="A754" i="1" s="1"/>
  <c r="A755" i="1" s="1"/>
  <c r="A756" i="1" s="1"/>
  <c r="A757" i="1" s="1"/>
  <c r="A758" i="1" s="1"/>
  <c r="A759" i="1" s="1"/>
  <c r="A760" i="1" s="1"/>
  <c r="A761" i="1" s="1"/>
  <c r="A762" i="1" s="1"/>
  <c r="A763" i="1" s="1"/>
  <c r="A764" i="1" s="1"/>
  <c r="A765" i="1" s="1"/>
  <c r="A766" i="1" s="1"/>
  <c r="A767" i="1" s="1"/>
  <c r="A768" i="1" s="1"/>
  <c r="A769" i="1" s="1"/>
  <c r="A770" i="1" s="1"/>
  <c r="A771" i="1" s="1"/>
  <c r="A772" i="1" s="1"/>
  <c r="A773" i="1" s="1"/>
  <c r="A774" i="1" s="1"/>
  <c r="A775" i="1" s="1"/>
  <c r="A776" i="1" s="1"/>
  <c r="A777" i="1" s="1"/>
  <c r="A778" i="1" s="1"/>
  <c r="A779" i="1" s="1"/>
  <c r="A780" i="1" s="1"/>
  <c r="A781" i="1" s="1"/>
  <c r="A782" i="1" s="1"/>
  <c r="A783" i="1" s="1"/>
  <c r="A784" i="1" s="1"/>
  <c r="A791" i="1" s="1"/>
  <c r="A792" i="1" s="1"/>
  <c r="A793" i="1" s="1"/>
  <c r="A794" i="1" s="1"/>
  <c r="A795" i="1" s="1"/>
  <c r="A796" i="1" s="1"/>
  <c r="A797" i="1" s="1"/>
  <c r="A798" i="1" s="1"/>
  <c r="A799" i="1" s="1"/>
  <c r="A800" i="1" s="1"/>
  <c r="A801" i="1" s="1"/>
  <c r="A802" i="1" s="1"/>
  <c r="A803" i="1" s="1"/>
  <c r="A804" i="1" s="1"/>
  <c r="A805" i="1" s="1"/>
  <c r="A806" i="1" s="1"/>
  <c r="A807" i="1" s="1"/>
  <c r="A808" i="1" s="1"/>
  <c r="A809" i="1" s="1"/>
  <c r="A810" i="1" s="1"/>
  <c r="A811" i="1" s="1"/>
  <c r="A812" i="1" s="1"/>
  <c r="A813" i="1" s="1"/>
  <c r="A814" i="1" s="1"/>
  <c r="A815" i="1" s="1"/>
  <c r="A816" i="1" s="1"/>
  <c r="A817" i="1" s="1"/>
  <c r="A818" i="1" s="1"/>
  <c r="A819" i="1" s="1"/>
  <c r="A820" i="1" s="1"/>
  <c r="A821" i="1" s="1"/>
  <c r="A822" i="1" s="1"/>
  <c r="A823" i="1" s="1"/>
  <c r="A824" i="1" s="1"/>
  <c r="A825" i="1" s="1"/>
  <c r="A826" i="1" s="1"/>
  <c r="A827" i="1" s="1"/>
  <c r="A828" i="1" s="1"/>
  <c r="A829" i="1" s="1"/>
  <c r="A830" i="1" s="1"/>
  <c r="A831" i="1" s="1"/>
  <c r="A832" i="1" s="1"/>
  <c r="A833" i="1" s="1"/>
  <c r="A834" i="1" s="1"/>
  <c r="A835" i="1" s="1"/>
  <c r="A836" i="1" s="1"/>
  <c r="A837" i="1" s="1"/>
  <c r="A838" i="1" s="1"/>
  <c r="A839" i="1" s="1"/>
  <c r="A840" i="1" s="1"/>
  <c r="A841" i="1" s="1"/>
  <c r="A842" i="1" s="1"/>
  <c r="A843" i="1" s="1"/>
  <c r="A844" i="1" s="1"/>
  <c r="A845" i="1" s="1"/>
  <c r="A846" i="1" s="1"/>
  <c r="A847" i="1" s="1"/>
  <c r="A848" i="1" s="1"/>
  <c r="A849" i="1" s="1"/>
  <c r="A850" i="1" s="1"/>
  <c r="A851" i="1" s="1"/>
  <c r="A852" i="1" s="1"/>
  <c r="A853" i="1" s="1"/>
  <c r="A854" i="1" s="1"/>
  <c r="A855" i="1" s="1"/>
  <c r="A856" i="1" s="1"/>
  <c r="A857" i="1" s="1"/>
  <c r="A858" i="1" s="1"/>
  <c r="A859" i="1" s="1"/>
  <c r="A860" i="1" s="1"/>
  <c r="A861" i="1" s="1"/>
  <c r="A862" i="1" s="1"/>
  <c r="A863" i="1" s="1"/>
  <c r="A864" i="1" s="1"/>
  <c r="A865" i="1" s="1"/>
  <c r="A866" i="1" s="1"/>
  <c r="A867" i="1" s="1"/>
  <c r="A868" i="1" s="1"/>
  <c r="A869" i="1" s="1"/>
  <c r="A870" i="1" s="1"/>
  <c r="A871" i="1" s="1"/>
  <c r="A872" i="1" s="1"/>
  <c r="A873" i="1" s="1"/>
  <c r="A874" i="1" s="1"/>
  <c r="A875" i="1" s="1"/>
  <c r="A876" i="1" s="1"/>
  <c r="A877" i="1" s="1"/>
  <c r="A878" i="1" s="1"/>
  <c r="A879" i="1" s="1"/>
  <c r="A880" i="1" s="1"/>
  <c r="A881" i="1" s="1"/>
  <c r="A882" i="1" s="1"/>
  <c r="A883" i="1" s="1"/>
  <c r="A884" i="1" s="1"/>
  <c r="A885" i="1" s="1"/>
  <c r="A892" i="1" s="1"/>
  <c r="A893" i="1" s="1"/>
  <c r="A894" i="1" s="1"/>
  <c r="A895" i="1" s="1"/>
  <c r="A896" i="1" s="1"/>
  <c r="A897" i="1" s="1"/>
  <c r="A898" i="1" s="1"/>
  <c r="A899" i="1" s="1"/>
  <c r="A900" i="1" s="1"/>
  <c r="A901" i="1" s="1"/>
  <c r="A902" i="1" s="1"/>
  <c r="A903" i="1" s="1"/>
  <c r="A904" i="1" s="1"/>
  <c r="A905" i="1" s="1"/>
  <c r="A906" i="1" s="1"/>
  <c r="A907" i="1" s="1"/>
  <c r="A908" i="1" s="1"/>
  <c r="A909" i="1" s="1"/>
  <c r="A910" i="1" s="1"/>
  <c r="A911" i="1" s="1"/>
  <c r="A912" i="1" s="1"/>
  <c r="A913" i="1" s="1"/>
  <c r="A914" i="1" s="1"/>
  <c r="A915" i="1" s="1"/>
  <c r="A916" i="1" s="1"/>
  <c r="A917" i="1" s="1"/>
  <c r="A918" i="1" s="1"/>
  <c r="A919" i="1" s="1"/>
  <c r="A920" i="1" s="1"/>
  <c r="A921" i="1" s="1"/>
  <c r="A922" i="1" s="1"/>
  <c r="A923" i="1" s="1"/>
  <c r="A924" i="1" s="1"/>
  <c r="A925" i="1" s="1"/>
  <c r="A926" i="1" s="1"/>
  <c r="A927" i="1" s="1"/>
  <c r="A928" i="1" s="1"/>
  <c r="A929" i="1" s="1"/>
  <c r="A930" i="1" s="1"/>
  <c r="A63" i="1"/>
  <c r="A9" i="1"/>
  <c r="A10" i="1" s="1"/>
  <c r="A11" i="1" s="1"/>
  <c r="A12" i="1" s="1"/>
  <c r="A13" i="1" s="1"/>
  <c r="A14" i="1" s="1"/>
  <c r="A15" i="1" s="1"/>
  <c r="A16" i="1" s="1"/>
  <c r="A17" i="1" s="1"/>
  <c r="A18" i="1" s="1"/>
  <c r="A19" i="1" s="1"/>
  <c r="A20" i="1" s="1"/>
  <c r="A21" i="1" s="1"/>
  <c r="A22" i="1" s="1"/>
  <c r="A23" i="1" s="1"/>
  <c r="A24" i="1" s="1"/>
  <c r="A25" i="1" s="1"/>
  <c r="A26" i="1" s="1"/>
  <c r="A27" i="1" s="1"/>
  <c r="A28" i="1" s="1"/>
  <c r="A29" i="1" s="1"/>
  <c r="A30" i="1" s="1"/>
  <c r="A31" i="1" s="1"/>
  <c r="A32" i="1" s="1"/>
  <c r="A33" i="1" s="1"/>
  <c r="A34" i="1" s="1"/>
  <c r="A35" i="1" s="1"/>
  <c r="A36" i="1" s="1"/>
  <c r="A37" i="1" s="1"/>
  <c r="A38" i="1" s="1"/>
  <c r="A39" i="1" s="1"/>
  <c r="A40" i="1" s="1"/>
  <c r="A41" i="1" s="1"/>
  <c r="A42" i="1" s="1"/>
  <c r="A43" i="1" s="1"/>
  <c r="A44" i="1" s="1"/>
  <c r="A45" i="1" s="1"/>
  <c r="A46" i="1" s="1"/>
  <c r="A53" i="1" s="1"/>
  <c r="A54" i="1" s="1"/>
  <c r="A55" i="1" s="1"/>
  <c r="A56" i="1" s="1"/>
  <c r="A57" i="1" s="1"/>
  <c r="A58" i="1" s="1"/>
  <c r="A59" i="1" s="1"/>
  <c r="A60" i="1" s="1"/>
  <c r="A61" i="1" s="1"/>
</calcChain>
</file>

<file path=xl/sharedStrings.xml><?xml version="1.0" encoding="utf-8"?>
<sst xmlns="http://schemas.openxmlformats.org/spreadsheetml/2006/main" count="2943" uniqueCount="1738">
  <si>
    <t>ID</t>
  </si>
  <si>
    <t>YEAR</t>
  </si>
  <si>
    <t>AUTHORS</t>
  </si>
  <si>
    <t>TITLE</t>
  </si>
  <si>
    <t>LINK TO PDF</t>
  </si>
  <si>
    <t>DOI</t>
  </si>
  <si>
    <t>J. Li; R. Hou; G. Shang; H. Zhang; X. Cheng; R. Pan</t>
  </si>
  <si>
    <t>FVM: Practical Feather-Weight Virtualization on Commodity Microcontrollers</t>
  </si>
  <si>
    <t>2025liFVMPracticalFeatherWeight.pdf</t>
  </si>
  <si>
    <t>10.1109/TC.2025.3558582</t>
  </si>
  <si>
    <t>PRELIMINARY PAPER INFORMATION</t>
  </si>
  <si>
    <t>FULL PAPER AVAILABILITY</t>
  </si>
  <si>
    <t>Paper ID</t>
  </si>
  <si>
    <t>Year</t>
  </si>
  <si>
    <t>Authors</t>
  </si>
  <si>
    <t>Title</t>
  </si>
  <si>
    <t>Abstract</t>
  </si>
  <si>
    <t>Paper available in full text</t>
  </si>
  <si>
    <t>Link to the downloaded paper</t>
  </si>
  <si>
    <t>✓</t>
  </si>
  <si>
    <t>A. K. Sundar Rajan et al.</t>
  </si>
  <si>
    <t>Hypervisor for consolidating real-time automotive control units: Its procedure, implications and hidden pitfalls</t>
  </si>
  <si>
    <t>K. Vipin</t>
  </si>
  <si>
    <t>CANNoC: An open-source NoC architecture for ECU consolidation</t>
  </si>
  <si>
    <t>Modern cars contain more than 50 electronic control units (ECUs) whose number is expected to grow as more and more features are incorporated. The concept of one feature per ECU is contributing to this growth which increases the car kerb weight leading to lower fuel efficiency. Researchers have proposed ECU consolidation to addresses this issue by combining multiple ECUs on the same chip. This paper discusses the implementation of a network on chip (NoC) architecture which enables integrating multiple ECUs on a reconfigurable chip (FPGA) and interfacing it with a standard CAN network. The architecture enables reducing the number of ECUs required for non-critical functions and lower communication overhead to the main bus.</t>
  </si>
  <si>
    <t>AUTOSAR Consortium</t>
  </si>
  <si>
    <t>Adaptive AUTOSAR: The AUTOSAR runtime for adaptive applications (ARA)</t>
  </si>
  <si>
    <t>F. Paci, D. Brunelli, L. Benini</t>
  </si>
  <si>
    <t>Lightweight IO virtualization on MPU enabled microcontrollers</t>
  </si>
  <si>
    <t xml:space="preserve">The paper proposes a solution to paravirtualize peripherals in a microcontroller-based environment. The solution is not a complete virtualization solution, as it  targets a FreeRTOS system and defines the virtualization of the IOs inside it to permit it to be used by the FreeRTOS tasks.  However, the same mechanism could be used in a  complete virtualized environment </t>
  </si>
  <si>
    <t>B. Sá, J. Martins, S. Pinto</t>
  </si>
  <si>
    <t>A first look at RISC-V virtualization from an embedded systems perspective</t>
  </si>
  <si>
    <t>This article describes the first public implementation and evaluation of the latest version of the RISC-V hypervisor extension (H-extension v0.6.1) specification in a Rocket chip core. To perform a meaningful evaluation for modern multi-core embedded and mixedcriticality systems, we have ported Bao, an open-source static partitioning hypervisor, to RISC-V. We have also extended the RISC-V platformlevel interrupt controller (PLIC) to enable direct guest interrupt injection with low and deterministic latency and we have enhanced the timer infrastructure to avoid trap and emulation overheads. Experiments were carried out in FireSim, a cycle-accurate, FPGA-accelerated simulator, and the system was also successfully deployed and tested in a Zynq UltraScale+ MPSoC ZCU104. Our hardware implementation was opensourced and is currently in use by the RISC-V community towards the ratification of the H-extension specification.</t>
  </si>
  <si>
    <t>C. Morales-Gonzalez et al.</t>
  </si>
  <si>
    <t>On building automation system security</t>
  </si>
  <si>
    <t>Z. Jiang et al.</t>
  </si>
  <si>
    <t>Towards hard real-time and energy-efficient virtualization for manycore embedded systems</t>
  </si>
  <si>
    <t>In safety-critical computing systems, the I/O virtualization must simultaneously satisfy different requirements, including time-predictability, performance, and energy-efficiency. However, these requirements are challenging to achieve due to complex I/O access path and resource management at the system level, lack of support from preemptive scheduling at I/O hardware level, and missing an effective energy management method. In this paper, we propose a new framework, I/O-GUARD, which reconstructs the system architecture of I/O virtualization, bringing a dedicated hardware hypervisor to handle resource management throughout the system. The hypervisor improves system real-time performance by enabling preemptive scheduling in I/O virtualization with both analytical and experimental real-time guarantees. Furthermore, we also present a dedicated energy management unit to adjust I/O-GUARD’s dynamic energy using frequency scaling. Associated with that, a frequency identification algorithm is proposed to find the appropriate executing frequency at run-time. As shown in experiments, I/O-GUARD simultaneously improves the predictability, performance and energy-efficiency compared to the state-of-the-art I/O virtualization</t>
  </si>
  <si>
    <t xml:space="preserve">The paper proposes an HW solution to virtualize I/O in a Many-Core Embedded System.  The paper cannot be excuded because it is not related only to MMU-based system and it cannot be removed for EX10. </t>
  </si>
  <si>
    <t>R. Pan, G. Peach, Y. Ren, G. Parmer</t>
  </si>
  <si>
    <t>Predictable virtualization on memory protection unit-based microcontrollers</t>
  </si>
  <si>
    <t>A. A. Clements et al.</t>
  </si>
  <si>
    <t>Protecting bare-metal embedded systems with privilege overlays</t>
  </si>
  <si>
    <t>Embedded systems are ubiquitous in every aspect of modern life. As the Internet of Thing expands, our dependence on these systems increases. Many of these interconnected systems are and will be low cost bare-metal systems, executing without an operating system. Bare-metal systems rarely employ any security protection mechanisms and their development assumptions (unrestricted access to all memory and instructions), and constraints (runtime, energy, and memory) makes applying protections challenging. To address these challenges we present EPOXY, an LLVMbased embedded compiler. We apply a novel technique, called privilege overlaying, wherein operations requiring privileged execution are identified and only these operations execute in privileged mode. This provides the foundation on which codeintegrity, adapted control-flow hijacking defenses, and protections for sensitive IO are applied. We also design fine-grained randomization schemes, that work within the constraints of baremetal systems to provide further protection against control-flow and data corruption attacks. These defenses prevent code injection attacks and ROP attacks from scaling across large sets of devices. We evaluate the performance of our combined defense mechanisms for a suite of 75 benchmarks and 3 real-world IoT applications. Our results for the application case studies show that EPOXY has, on average, a 1.8% increase in execution time and a 0.5% increase in energy usage.</t>
  </si>
  <si>
    <t>R. Gurdeep Singh, C. Scholliers</t>
  </si>
  <si>
    <t>WARDuino: A dynamic WebAssembly virtual machine for programming microcontrollers</t>
  </si>
  <si>
    <t>W. Zhou et al.</t>
  </si>
  <si>
    <t>Good motive but bad design: Why ARM MPU has become an outcast in embedded systems</t>
  </si>
  <si>
    <t>As more and more embedded devices are connected to the Internet, leading to the emergence of Internet-of-Things (IoT), previously less tested (and insecure) devices are exposed to miscreants. To prevent them from being compromised, the memory protection unit (MPU), which is readily available on many devices, has the potential to become a free lunch for the defenders. To our surprise, the MPU is seldom used by real-world products. The reasons are multi-fold. While there are non-technical reasons such as compatibility issues, more importantly, we found that MPU brings virtually no security enhancement at the expense of decreased performance and responsiveness. In this work, we investigate the MPU adoption in major real-time operating systems (RTOSs), in particular, the FreeRTOS, and try to pinpoint the fundamental reasons to explain why MPU is not favored. We hope our findings can inspire new remedial solutions to change the situation. We also review the latest MPU design and provide technical suggestions to build more secure embedded systems.</t>
  </si>
  <si>
    <t>EX7</t>
  </si>
  <si>
    <t>ACES: Automatic compartments for embedded systems</t>
  </si>
  <si>
    <t>Securing the rapidly expanding Internet of Things (IoT) is critical. Many of these “things” are vulnerable baremetal embedded systems where the application executes directly on hardware without an operating system. Unfortunately, the integrity of current systems may be compromised by a single vulnerability, as recently shown by Google’s P0 team against Broadcom’s WiFi SoC. We present ACES (Automatic Compartments for Embedded Systems)1 , an LLVM-based compiler that automatically infers and enforces inter-component isolation on bare-metal systems, thus applying the principle of least privileges. ACES takes a developer-specified compartmentalization policy and then automatically creates an instrumented binary that isolates compartments at runtime, while handling the hardware limitations of baremetal embedded devices. We demonstrate ACES’ ability to implement arbitrary compartmentalization policies by implementing three policies and comparing the compartment isolation, runtime overhead, and memory overhead. Our results show that ACES’ compartments can have low runtime overheads (13% on our largest test application), while using 59% less Flash, and 84% less RAM than the Mbed µVisor—the current state-of-theart compartmentalization technique for bare-metal systems. ACES ‘ compartments protect the integrity of privileged data, provide control-flow integrity between compartments, and reduce exposure to ROP attacks by 94.3% compared to µVisor.</t>
  </si>
  <si>
    <t>D. Kwon et al.</t>
  </si>
  <si>
    <t>uXOM: Efficient execute-only memory on ARM Cortex-M</t>
  </si>
  <si>
    <t>ode disclosure attacks are one of the major threats to a computer system, considering that code often contains security sensitive information, such as intellectual properties (e.g., secret algorithm), sensitive data (e.g., cryptographic keys) and the gadgets for launching code reuse attacks. To stymie this class of attacks, security researchers have devised a strong memory protection mechanism, called eXecute-Only-Memory (XOM), that defines special memory regions where instruction execution is permitted but data reads and writes are prohibited. Reflecting the value of XOM, many recent high-end processors have added support for XOM in their hardware. Unfortunately, however, low-end embedded processors have yet to provide hardware support for XOM.
In this paper, we propose a novel technique, named uXOM, that realizes XOM in a way that is secure and highly optimized to work on Cortex-M, which is a prominent processor series used in low-end embedded devices. uXOM achieves its security and efficiency by using special architectural features in Cortex-M: unprivileged memory instructions and an MPU. We present several challenges in making XOM non-bypassable under strong attackers and introduce our code analysis and instrumentation to solve these challenges. Our evaluation reveals that uXOM successfully realizes XOM in Cortex-M processor with much better efficiency in terms of execution time, code size and energy consumption compared to a software-only XOM implementation for Cortex-M.</t>
  </si>
  <si>
    <t>N. Klingensmith, S. Banerjee</t>
  </si>
  <si>
    <t>Hermes: A real time hypervisor for mobile and IoT systems</t>
  </si>
  <si>
    <t>P. K. Gadepalli et al.</t>
  </si>
  <si>
    <t>Slite: OS support for near zero-cost, configurable scheduling</t>
  </si>
  <si>
    <t>consists of scheduling for virtualized systems</t>
  </si>
  <si>
    <t>S. Pinto et al.</t>
  </si>
  <si>
    <t>Virtualization on TrustZone-enabled microcontrollers? Voilà!</t>
  </si>
  <si>
    <t>N. Dejon, C. Gaber, G. Grimaud</t>
  </si>
  <si>
    <t>Pip-MPU: Formal verification of an MPU-based separation kernel for constrained devices</t>
  </si>
  <si>
    <t>refers to a separation kernel for security</t>
  </si>
  <si>
    <t>D. Danner et al.</t>
  </si>
  <si>
    <t>SAFER SLOTH: Efficient, hardware-tailored memory protection</t>
  </si>
  <si>
    <t>EX1</t>
  </si>
  <si>
    <t>X. Zhou et al.</t>
  </si>
  <si>
    <t>OPEC: Operation-based security isolation for bare-metal embedded systems</t>
  </si>
  <si>
    <t>security</t>
  </si>
  <si>
    <t>L. Amit et al.</t>
  </si>
  <si>
    <t>Multiprogramming a 64 kB computer safely and efficiently</t>
  </si>
  <si>
    <t>A. Khan et al.</t>
  </si>
  <si>
    <t>Low-cost privilege separation with compile time compartmentalization for embedded systems</t>
  </si>
  <si>
    <t>Z. B. Aweke, T. Austin</t>
  </si>
  <si>
    <t>uSFI: Ultra-lightweight software fault isolation for IoT-class devices</t>
  </si>
  <si>
    <t>R. J. Walls et al.</t>
  </si>
  <si>
    <t>Control-flow integrity for real-time embedded systems</t>
  </si>
  <si>
    <t>K. Zandberg et al.</t>
  </si>
  <si>
    <t>Femtocontainers: Lightweight virtualization and fault isolation for small software functions on low-power IoT microcontrollers</t>
  </si>
  <si>
    <t>T. Nyman et al.</t>
  </si>
  <si>
    <t>CaRE: Hardware-supported call and return enforcement for commercial microcontrollers</t>
  </si>
  <si>
    <t>L. Zhao et al.</t>
  </si>
  <si>
    <t>ARMor: Fully verified software fault isolation</t>
  </si>
  <si>
    <t>Y. Du et al.</t>
  </si>
  <si>
    <t>Holistic control-flow protection on real-time embedded systems with Kage</t>
  </si>
  <si>
    <t>C. H. Kim et al.</t>
  </si>
  <si>
    <t>Securing real-time microcontroller systems through customized memory view switching</t>
  </si>
  <si>
    <t>W. Choi et al.</t>
  </si>
  <si>
    <t>SuM: Efficient shadow stack protection on ARM Cortex-M</t>
  </si>
  <si>
    <t>P. Koeberl et al.</t>
  </si>
  <si>
    <t>TrustLite: A security architecture for tiny embedded devices</t>
  </si>
  <si>
    <t>Temporal capabilities: Access control for time</t>
  </si>
  <si>
    <t>no mcu, test on intel i7</t>
  </si>
  <si>
    <t>G. Peach et al.</t>
  </si>
  <si>
    <t>eWASM: Practical software fault isolation for reliable embedded devices</t>
  </si>
  <si>
    <t>N. S. Almakhdhub et al.</t>
  </si>
  <si>
    <t>μRAI: Securing embedded systems with return address integrity</t>
  </si>
  <si>
    <t>X. Tan, Z. Zhao</t>
  </si>
  <si>
    <t>Sherloc: Secure and holistic control-flow violation detection on embedded systems</t>
  </si>
  <si>
    <t>B. Dragovic et al.</t>
  </si>
  <si>
    <t>Xen and the art of virtualization</t>
  </si>
  <si>
    <t>R. Pan, G. Parmer</t>
  </si>
  <si>
    <t>MxU: Towards predictable, flexible, and efficient memory access control for the secure IoT</t>
  </si>
  <si>
    <t>SBIs: Application access to safe, bare-metal interrupt latencies</t>
  </si>
  <si>
    <t>S. Kubica, M. Kogias</t>
  </si>
  <si>
    <t>μbpf: Using eBPF for microcontroller compartmentalization</t>
  </si>
  <si>
    <t>Wenyang Jia, Jigjing Wang, Ziwei Yan, Peng Xiangli</t>
  </si>
  <si>
    <t>BlockSDN: Towards a High-Performance Blockchain via Software-Defined Cross Networking optimization</t>
  </si>
  <si>
    <t>Y. Li; H. Takada</t>
  </si>
  <si>
    <t>iSotEE: A Hypervisor Middleware for IoT-Enabled Resource-Constrained Reliable Systems</t>
  </si>
  <si>
    <t>2022liISotEEHypervisorMiddleware.pdf</t>
  </si>
  <si>
    <t>10.1109/ACCESS.2022.3144044</t>
  </si>
  <si>
    <t>A. M. M. D. Santos</t>
  </si>
  <si>
    <t>Towards multi-OS support on TrustZone-M MCUs</t>
  </si>
  <si>
    <t>EX2
Thesis</t>
  </si>
  <si>
    <t>ci piace, ma è tesi su repo</t>
  </si>
  <si>
    <t>F. Jaskani et al.</t>
  </si>
  <si>
    <t>An Investigation on Several Operating Systems for Internet of Things</t>
  </si>
  <si>
    <t>secondary</t>
  </si>
  <si>
    <t>P. Kocher et al.</t>
  </si>
  <si>
    <t>Spectre attacks: Exploiting speculative execution</t>
  </si>
  <si>
    <t>J. Hiller et al.</t>
  </si>
  <si>
    <t>Secure low-latency communication for constrained industrial IoT</t>
  </si>
  <si>
    <t>H. Li et al.</t>
  </si>
  <si>
    <t>ACRN: A big little hypervisor for IoT development</t>
  </si>
  <si>
    <t>no mcu</t>
  </si>
  <si>
    <t>C. Garlati</t>
  </si>
  <si>
    <t>Configuring, enforcing, and monitoring separation of TEEs</t>
  </si>
  <si>
    <t>D. Lee et al.</t>
  </si>
  <si>
    <t>Keystone: An Open Framework for Architecting Trusted Execution Environments</t>
  </si>
  <si>
    <t>D. Valadares et al.</t>
  </si>
  <si>
    <t>Trusted execution environments for cloud/fog IoT</t>
  </si>
  <si>
    <t>L. Luo et al.</t>
  </si>
  <si>
    <t>Runtime software security of TrustZone-M IoT devices</t>
  </si>
  <si>
    <t>M. Gaiceanu</t>
  </si>
  <si>
    <t>Cyber-physical systems for industrial applications</t>
  </si>
  <si>
    <t>Following the advent of cyber-attacks, but also the expansion of the worldwide digitalization, cyber security has become a national priority in many states of the world. Both the knowledge development, through the new industrial revolution (Industry 4.0) and recent cyber-attacks, lead to the adoption of rapid cyber security measures. The cyber-physical systems are based on the safety, reliability, and availability. The cyber-physical systems are the foundation of the critical infrastructures. The critical infrastructures are related to the nation prosperity, industry, and to the state security assurance. From cause and effect point of view, a chronological development of the cyber security legislative framework is presented. The main protection tools in cyber security of the critical infrastructures are emphasized by highlighting their main features.</t>
  </si>
  <si>
    <t>EX2
Survey</t>
  </si>
  <si>
    <t>M. Silva et al.</t>
  </si>
  <si>
    <t>Operating systems for IoT low-end devices: Analysis and benchmarking</t>
  </si>
  <si>
    <t>In the era of the Internet of Things (IoT), billions of wirelessly connected embedded devices rapidly became part of our daily lives. As a key tool for each Internet-enabled object, embedded operating systems (OSes) provide a set of services and abstractions which eases the development and speedups the deployment of IoT solutions at scale. This article starts by discussing the requirements of an IoT-enabled OS, taking into consideration the major concerns when developing solutions at the network edge, followed by a deep comparative analysis and benchmarking on Contiki-NG, RIOT, and Zephyr. Such OSes were considered as the best representative of their class considering the main key-points that best define an OS for resource-constrained IoT devices: low-power consumption, real-time capabilities, security awareness, interoperability, and connectivity. While evaluating each OS under different network conditions, the gathered results revealed distinct behaviors for each OS feature, mainly due to differences in kernel and network stack implementations.</t>
  </si>
  <si>
    <t>N. Dey et al.</t>
  </si>
  <si>
    <t>Medical cyber-physical systems: A survey</t>
  </si>
  <si>
    <t>EX2</t>
  </si>
  <si>
    <t>S. S. Prabhu et al.</t>
  </si>
  <si>
    <t>Safety critical embedded software: Significance and approach to reliability</t>
  </si>
  <si>
    <t>Safety critical embedded software applications are
developed for systems whose failures contribute to hazards in the
system for safety of life. Such software, as a part of extremely
critical component of any system, requires high reliability index
in its design, development or maintenance. Enhancing reliability
and thereby achieving best quality software is a concern for safety
critical software. In order to build highly reliable software, attributes of quality that are applied at each phase of development
lifecycle are necessary to be considered for improvement. Usage
of formal method based software tools during the development
improves overall quality of the software by removing ambiguities
and early detection &amp; removal of faults. This paper highlights
the requirements and significance of reliability on the overall
performance of the safety critical software, the approach to
higher reliability through software project planning, development
with standard methodical process, automation and configuration
control. Further, this paper emphasizes on enabling safety and
reliability into the critical software systems by adopting factors
such as development process, formal methods and relevant tools
in order to build continued confidence</t>
  </si>
  <si>
    <t>C. Alcaraz, S. Zeadally</t>
  </si>
  <si>
    <t>Critical infrastructure protection: Requirements and challenges for the 21st century</t>
  </si>
  <si>
    <t>A. Esper et al.</t>
  </si>
  <si>
    <t>An industrial view on mixed-criticality systems</t>
  </si>
  <si>
    <t>With the rapid evolution of commercial hardware platforms, in most application domains, the industry has shown a growing interest in integrating and running independently-developed applications of different “criticalities” in the same multi-core platform, with the objective of improving the performance/cost ratio of the system. Such integrated systems are commonly referred to as mixed-criticality systems (MCS). Most of the MCS-related research published in the state-of-the-art cite the safety-related standards associated to each application domain (e.g. aeronautics, space, railway, automotive). However, those standards are not, in most cases, freely available, and do not always clearly and explicitly specify the requirements for mixed-criticality systems. This paper addresses the important challenge of presenting the relevant information available in some of the safety-related standards, such that the mixed-criticality concept is understood from an industrialist’s perspective. In addition, the paper evaluates state-of-the-art mixed-criticality real-time scheduling models and algorithms against the safety-related standards.</t>
  </si>
  <si>
    <t>V. Narayanan, Y. Xie</t>
  </si>
  <si>
    <t>Reliability concerns in embedded system designs</t>
  </si>
  <si>
    <t>Y. B. Zikria et al.</t>
  </si>
  <si>
    <t>Internet of Things: OS, applications, protocols, and validation techniques</t>
  </si>
  <si>
    <t>G. C. Buttazzo</t>
  </si>
  <si>
    <t>Hard Real-Time Computing Systems: Predictable Scheduling Algorithms and Applications</t>
  </si>
  <si>
    <t>J. Wang et al.</t>
  </si>
  <si>
    <t>Cloud-based predictive maintenance for intelligent manufacturing</t>
  </si>
  <si>
    <t>L. Wehmeyer, P. Marwedel</t>
  </si>
  <si>
    <t>Influence of memory hierarchies on predictability for time-constrained embedded software</t>
  </si>
  <si>
    <t>H.-N. Dai et al.</t>
  </si>
  <si>
    <t>Big data analytics for manufacturing IoT</t>
  </si>
  <si>
    <t>L. S. Azevedo et al.</t>
  </si>
  <si>
    <t>Exploring the impact of cost heuristics in safety integrity level allocation</t>
  </si>
  <si>
    <t>Secure firmware updates for constrained IoT devices</t>
  </si>
  <si>
    <t>While the IoT deployments multiply in a wide variety of verticals, the most IoT devices lack a built-in secure firmware update mechanism. Without such a mechanism, however, critical security vulnerabilities cannot be fixed, and the IoT devices can become a permanent liability, as demonstrated by recent large-scale attacks. In this paper, we survey open standards and open source libraries that provide useful building blocks for secure firmware updates for the constrained IoT devices–by which we mean low-power, microcontroller-based devices such as networked sensors/actuators with a small amount of memory, among other constraints. We design and implement a prototype that leverages these building blocks and assess the security properties of this prototype. We present experimental results including first experiments with SUIT, a new IETF standard for secure IoT firmware updates. We evaluate the performance of our implementation on a variety of commercial off-the-shelf constrained IoT devices. We conclude that it is possible to create a secure, standards-compliant firmware update solution that uses the state-of-the-art security for the IoT devices with less than 32 kB of RAM and 128 kB of flash memory.</t>
  </si>
  <si>
    <t>A. Burns, R. I. Davis</t>
  </si>
  <si>
    <t>A survey of research into mixed-criticality systems</t>
  </si>
  <si>
    <t>A.-R. Sadeghi et al.</t>
  </si>
  <si>
    <t>Security and privacy challenges in industrial IoT</t>
  </si>
  <si>
    <t>Today, embedded, mobile, and cyberphysical systems are ubiquitous and used in many applications, from industrial control systems, modern vehicles, to critical infrastructure. Current trends and initiatives, such as “Industrie 4.0” and Internet of Things (IoT), promise innovative business models and novel user experiences through strong connectivity and effective use of next generation of embedded devices. These systems generate, process, and exchange vast amounts of security-critical and privacy-sensitive data, which makes them attractive targets of attacks. Cyberattacks on IoT systems are very critical since they may cause physical damage and even threaten human lives. The complexity of these systems and the potential impact of cyberattacks bring upon new threats. This paper gives an introduction to Industrial IoT systems, the related security and privacy challenges, and an outlook on possible solutions towards a holistic security framework for Industrial IoT systems.</t>
  </si>
  <si>
    <t>K. Parveen et al.</t>
  </si>
  <si>
    <t>Survey on operating systems for IoT applications</t>
  </si>
  <si>
    <t>N. Koutroumpouchos et al.</t>
  </si>
  <si>
    <t>Challenges and pitfalls of TrustZone</t>
  </si>
  <si>
    <t>TrustZone-based Trusted Execution Environments (TEEs) have been utilized extensively for the implementation of security-oriented solutions for several smart intra and inter-connected devices. Although TEEs have been promoted as the starting point for establishing a device root of trust, a number of published attacks against the most broadly utilized TEE implementations request a second view on their security. The aim of this research is to provide an analytical and educational exploration of TrustZone-based TEE vulnerabilities with the goal of pinpointing design and implementation flaws. To this end, we provide a taxonomy of TrustZone attacks, analyze them, and more importantly derive a set of critical observations regarding their nature. We perform a critical appraisal of the vulnerabilities to shed light on their underlying causes and we deduce that their manifestation is the joint effect of several parameters that lead to this situation. The most important ones are the closed implementations, the lack of security mechanisms, the shared resource architecture, and the absence of tools to audit trusted applications. Finally, given the severity of the identified issues, we propose possible improvements that could be adopted by TEE implementers to remedy and improve the security posture of TrustZone and future research directions.</t>
  </si>
  <si>
    <t>P. P. Ray et al.</t>
  </si>
  <si>
    <t>Edge computing for Internet of Things: A survey</t>
  </si>
  <si>
    <t>O. Hahm et al.</t>
  </si>
  <si>
    <t>Operating systems for low-end IoT devices: A survey</t>
  </si>
  <si>
    <t>EX5</t>
  </si>
  <si>
    <t>S. Pinto, N. Santos</t>
  </si>
  <si>
    <t>Demystifying ARM TrustZone</t>
  </si>
  <si>
    <t>Y. Li et al.</t>
  </si>
  <si>
    <t>A platform for LEGO Mindstorms EV3 based on an RTOS with MMU support</t>
  </si>
  <si>
    <t>W. Lamie, J. Carbone</t>
  </si>
  <si>
    <t>Measure your RTOS’s real-time performance</t>
  </si>
  <si>
    <t>A. Madhavapeddy et al.</t>
  </si>
  <si>
    <t>Unikernels: Library operating systems for the cloud</t>
  </si>
  <si>
    <t>M. Cinque et al.</t>
  </si>
  <si>
    <t>Virtualizing mixed-criticality systems: A survey</t>
  </si>
  <si>
    <t>P. Sun, Y. Wan, Z. Wu, Z. Fang</t>
  </si>
  <si>
    <t>A survey on security issues in IoT operating systems</t>
  </si>
  <si>
    <t>S. Leclerc, A. Bucaioni, M. Ashjaei</t>
  </si>
  <si>
    <t>Characterizing time-critical Internet of Things</t>
  </si>
  <si>
    <t>The Internet of Things (IoT) is increasingly being adopted in diverse domains, many of which require strict timing constraints and predictable behavior. Despite the growing importance of timing characteristics in IoT applications, current approaches to address timing requirements are often fragmented, context-specific, and lack a unified understanding. Consequently, addressing timing aspects in IoT remains largely ad hoc and dependent on individual applications, making it challenging to generalize findings or systematically apply established solutions. The goal of this study is to provide a comprehensive understanding of how timing is defined, characterized, and measured within the IoT community. We conducted this study through a systematic and structured mix methods research approach. First, we performed a systematic review of the literature, extracting and analyzing information from 38 primary studies, selected from a rigorous process involving 1176 studies. Second, to complement the literature findings, we conducted an expert survey involving 28 respondents from academia and industry, representing a variety of roles with specialized expertise in IoT systems and timing-related issues. We identified two primary characterizations of timing within the IoT: time-criticality and predictability. Additionally, we collected and categorized 113 distinct timing metrics from literature into commonly found layers of an IoT system. The majority of the surveyed practitioners and researchers (75%) agree with our categorization and consider this research useful and relevant (71.5%). We believe that our study provides practitioners and researchers with insights into timing characteristics and metrics in IoT applications, towards the ultimate goal of standardization.</t>
  </si>
  <si>
    <t>H. Ahmadvand, C. Lal, H. Hemmati, M. Soohak et al.</t>
  </si>
  <si>
    <t>Privacy-preserving and security in SDN-based IoT: A survey</t>
  </si>
  <si>
    <t>Y. Li, Y. Matsubara, H. Takada, K. Suzuki et al.</t>
  </si>
  <si>
    <t>A Performance Evaluation of Embedded Multi-core Mixed-criticality System Based on PREEMPT_RT Linux</t>
  </si>
  <si>
    <t>S. Al Ferdous Fahim, D. Block, A. Hayek</t>
  </si>
  <si>
    <t>Novel Concept for Cloud-Connection of Embedded Field Devices in Automation</t>
  </si>
  <si>
    <t>no complete virtualization</t>
  </si>
  <si>
    <t>J. Martins et al.</t>
  </si>
  <si>
    <t>Bao: A lightweight static partitioning hypervisor</t>
  </si>
  <si>
    <t>S. Pinto, C. Garlati</t>
  </si>
  <si>
    <t>User mode interrupts: A must for securing embedded systems</t>
  </si>
  <si>
    <t>EX2
Non-peer reviewed article</t>
  </si>
  <si>
    <t>R. Pan; G. Parmer</t>
  </si>
  <si>
    <t>SBIs: Application Access to Safe, Baremetal Interrupt Latencies</t>
  </si>
  <si>
    <t>2022panSBIsApplicationAccess.pdf</t>
  </si>
  <si>
    <t>10.1109/RTAS54340.2022.00015</t>
  </si>
  <si>
    <t>—</t>
  </si>
  <si>
    <t>V-USB. A software-only implementation of a low-speed USB device for Atmel AVR controllers</t>
  </si>
  <si>
    <t>Maxim Integrated Products</t>
  </si>
  <si>
    <t>Application Note 126: 1-Wire Communication Through Software</t>
  </si>
  <si>
    <t>Z. Cheng, R. West, Y. Ye</t>
  </si>
  <si>
    <t>Building real-time embedded applications on QduinoMC</t>
  </si>
  <si>
    <t>Single Board Computers (SBCs) are now emerging
with multiple cores, ADCs, GPIOs, PWM channels, integrated
graphics, and several serial bus interfaces. The low power
consumption, small form factor and I/O interface capabilities of
SBCs with sensors and actuators makes them ideal in embedded
and real-time applications. However, most SBCs run non-realtime operating systems based on Linux and Windows, and do
not provide a user-friendly API for application development. This
paper presents QduinoMC, a multicore extension to the popular
Arduino programming environment, which runs on the Quest
real-time operating system. QduinoMC is an extension of our earlier single-core, real-time, multithreaded Qduino API. We show
the utility of QduinoMC by applying it to a specific application: a
web-connected 3D printer. This differs from existing 3D printers,
which run relatively simple firmware and lack operating system
support to spool multiple jobs, or interoperate with other devices
(e.g., in a print farm). We show how QduinoMC empowers devices
with the capabilities to run new services without impacting
their timing guarantees. While it is possible to modify existing
operating systems to provide suitable timing guarantees, the
effort to do so is cumbersome and does not provide the ease
of programming afforded by QduinoMC.</t>
  </si>
  <si>
    <t>Analog Devices</t>
  </si>
  <si>
    <t>8-/6-/4-Channel DAS with 16-bit Bipolar Input ADC</t>
  </si>
  <si>
    <t>A. Farrukh, R. West</t>
  </si>
  <si>
    <t>SmartFlight: Environmentally-aware adaptive real-time flight management</t>
  </si>
  <si>
    <t>Multi-rotor drones require real-time sensor data processing and control to maintain flight stability,
which is made more challenging by external disturbances such as wind. In this paper we introduce
smartflight: an environmentally-aware adaptive real-time flight management system. smartflight
adapts the execution frequencies of flight control tasks according to timing and safety-critical
constraints, in response to transient fluctuations of a drone’s attitude. In contrast to current
state-of-the-art methods, smartflight’s criticality-aware scheduler reduces the latency to return to
a steady-state target attitude. The system also improves the overall control accuracy and lowers
the frequency of adjustments to motor speeds to conserve power. A comparative case-study with
a well-known autopilot shows that smartflight reduces unnecessary control loop executions under
stable conditions, while reducing response time latency by as much as 60% in a given axis of rotation
when subjected to a 15° step attitude disturbance.</t>
  </si>
  <si>
    <t>Lightweight I/O virtualization on MPU-enabled microcontrollers</t>
  </si>
  <si>
    <t>G. Peach, R. Pan, Z. Wu, G. Parmer et al.</t>
  </si>
  <si>
    <t>SAFER SLOTH: Efficient hardware-tailored memory protection</t>
  </si>
  <si>
    <t>P. K. Gadepalli, R. Pan, G. Parmer</t>
  </si>
  <si>
    <t>Slite: OS support for near zero-cost scheduling</t>
  </si>
  <si>
    <t>L. del Foyo, P. Mejia-Alvarez, D. de Niz</t>
  </si>
  <si>
    <t>Predictable interrupt scheduling with low overhead</t>
  </si>
  <si>
    <t>Predictable interrupt management for real-time kernels</t>
  </si>
  <si>
    <t>H. M. E. Araujo</t>
  </si>
  <si>
    <t>LTZVisor: A lightweight TrustZone-assisted hypervisor</t>
  </si>
  <si>
    <t>D. Gay et al.</t>
  </si>
  <si>
    <t>The nesC language</t>
  </si>
  <si>
    <t>Multiprogramming a 64kB computer safely and efficiently</t>
  </si>
  <si>
    <t>MicroPython for microcontrollers</t>
  </si>
  <si>
    <t>eLua project</t>
  </si>
  <si>
    <t>MicroEJ for microcontrollers</t>
  </si>
  <si>
    <t>mJS embedded JavaScript engine</t>
  </si>
  <si>
    <t>J. Corbet</t>
  </si>
  <si>
    <t>BPF: The universal in-kernel virtual machine</t>
  </si>
  <si>
    <t>A. Haas et al.</t>
  </si>
  <si>
    <t>Bringing the Web up to Speed with WebAssembly</t>
  </si>
  <si>
    <t>The maturation of the Web platform has given rise to sophisticated and demanding Web applications such as interactive 3D visualization, audio and video software, and games. With that, efficiency and security of code on the Web has become more important than ever. Yet JavaScript as the only built-in language of the Web is not well-equipped to meet these requirements, especially as a compilation target.
Engineers from the four major browser vendors have risen to the challenge and collaboratively designed a portable low-level bytecode called WebAssembly. It offers compact representation, efficient validation and compilation, and safe low to no-overhead execution. Rather than committing to a specific programming model, WebAssembly is an abstraction over modern hardware, making it language-, hardware-, and platform-independent, with use cases beyond just the Web. WebAssembly has been designed with a formal semantics from the start. We describe the motivation, design and formal semantics of WebAssembly and provide some preliminary experience with implementations.</t>
  </si>
  <si>
    <t>W. Hofer et al.</t>
  </si>
  <si>
    <t>SLOTH: Threads as interrupts</t>
  </si>
  <si>
    <t>S. Otani et al.</t>
  </si>
  <si>
    <t>Automotive microcontroller with virtualization-assisted processor</t>
  </si>
  <si>
    <t>EX4</t>
  </si>
  <si>
    <t>D. Hoornaert et al.</t>
  </si>
  <si>
    <t>Memory scheduling for multi-core systems</t>
  </si>
  <si>
    <t>The sharp increase in demand for performance has prompted an explosion in the complexity of
modern multi-core embedded systems. This has lead to unprecedented temporal unpredictability
concerns in Cyber-Physical Systems (CPS). On-chip integration of programmable logic (PL) alongside
a conventional Processing System (PS) in modern Systems-on-Chip (SoC) establishes a genuine
compromise between specialization, performance, and reconfigurability. In addition to typical
use-cases, it has been shown that the PL can be used to observe, manipulate, and ultimately manage
memory traffic generated by a traditional multi-core processor.
This paper explores the possibility of PL-aided memory scheduling by proposing a Scheduler Inthe-Middle (SchIM). We demonstrate that the SchIM enables transaction-level control over the main
memory traffic generated by a set of embedded cores. Focusing on extensibility and reconfigurability,
we put forward a SchIM design covering two main objectives. First, to provide a safe playground
to test innovative memory scheduling mechanisms; and second, to establish a transition path from
software-based memory regulation to provably correct hardware-enforced memory scheduling. We
evaluate our design through a full-system implementation on a commercial PS-PL platform using
synthetic and real-world benchmarks.</t>
  </si>
  <si>
    <t>G. Gracioli et al.</t>
  </si>
  <si>
    <t>Designing Mixed Criticality Applications on Modern Heterogeneous MPSoC Platforms</t>
  </si>
  <si>
    <t>Multiprocessor Systems-on-Chip (MPSoC) integrating hard processing cores with programmable logic (PL) are becoming increasingly common. While these platforms have been originally designed for high performance computing applications, their rich feature set can be exploited to efficiently implement mixed criticality domains serving both critical hard real-time tasks, as well as soft real-time tasks. In this paper, we take a deep look at commercially available heterogeneous MPSoCs that incorporate PL and a multicore processor. We show how one can tailor these processors to support a mixed criticality system, where cores are strictly isolated to avoid contention on shared resources such as Last-Level Cache (LLC) and main memory. In order to avoid conflicts in last-level cache, we propose the use of cache coloring, implemented in the Jailhouse hypervisor. In addition, we employ ScratchPad Memory (SPM) inside the PL to support a multi-phase execution model for real-time tasks that avoids conflicts in shared memory. We provide a full-stack, working implementation on a latest-generation MPSoC platform, and show results based on both a set of data intensive tasks, as well as a case study based on an image processing benchmark application.</t>
  </si>
  <si>
    <t>EX9</t>
  </si>
  <si>
    <t>S. Mittal</t>
  </si>
  <si>
    <t>Survey of cache locking techniques</t>
  </si>
  <si>
    <t>G. E. Suh et al.</t>
  </si>
  <si>
    <t>Dynamic partitioning of shared cache memory</t>
  </si>
  <si>
    <t>M. Qureshi, Y. Patt</t>
  </si>
  <si>
    <t>Utility-based cache partitioning</t>
  </si>
  <si>
    <t>MxU: Predictable memory access control for secure IoT</t>
  </si>
  <si>
    <t>H. Kim et al.</t>
  </si>
  <si>
    <t>OS-level cache management in multicore real-time systems</t>
  </si>
  <si>
    <t>R. Mancuso et al.</t>
  </si>
  <si>
    <t>Real-time cache management framework</t>
  </si>
  <si>
    <t>X. Zhang et al.</t>
  </si>
  <si>
    <t>Page coloring-based cache management</t>
  </si>
  <si>
    <t>M. Chisholm et al.</t>
  </si>
  <si>
    <t>Cache Sharing and Isolation Tradeoffs in Multicore Mixed-Criticality Systems</t>
  </si>
  <si>
    <t>In mixed-critical applications, tension exists between sharing and isolation with respect to hardware resources: while strong isolation might be required for highly critical tasks, somewhat permissive sharing might be reasonable for less critical tasks to improve throughput or average-case performance. In this paper, this tension is examined as it pertains to shared last-level caches (LLCs) on multicore platforms. In particular, criticality-aware optimization techniques based on linear programming are presented for allocating LLC areas in the context of the previously proposed MC2 (mixed-criticality on multicore) framework. Experiments are also presented that show that these techniques can result in significant schedulability improvements.</t>
  </si>
  <si>
    <t>B. C. Ward et al.</t>
  </si>
  <si>
    <t>Making shared caches more predictable</t>
  </si>
  <si>
    <t>T. Kloda et al.</t>
  </si>
  <si>
    <t>Deterministic Memory Hierarchy and Virtualization for Modern Multi-Core Embedded Systems</t>
  </si>
  <si>
    <t>One of the main predictability bottlenecks of modern multi-core embedded systems is contention for access to shared memory resources. Partitioning and software-driven allocation of memory resources is an effective strategy to mitigate contention in the memory hierarchy. Unfortunately, however, many of the strategies adopted so far can have unforeseen side-effects when practically implemented latest-generation, high-performance embedded platforms. Predictability is further jeopardized by cache eviction policies based on random replacement, targeting average performance instead of timing determinism. In this paper, we present a framework of software-based techniques to restore memory access determinism in high-performance embedded systems. Our approach leverages OS-transparent and DMA-friendly cache coloring, in combination with an invalidation-driven allocation (IDA) technique. The proposed method allows protecting important cache blocks from (i) external eviction by tasks concurrently executing on different cores, and (ii) internal eviction by tasks running on the same core. A working implementation obtained by extending the Jailhouse partitioning hypervisor is presented and evaluated with a combination of synthetic and real benchmarks.</t>
  </si>
  <si>
    <t>C. Moratelli et al.</t>
  </si>
  <si>
    <t>Embedded virtualization for the design of secure IoT applications</t>
  </si>
  <si>
    <t>Embedded virtualization has emerged as a valuable way to reduce costs, improve software quality, and decrease design time. Additionally, virtualization can enforce the overall system's security from several perspectives. One is security due to separation, where the hypervisor ensures that one domain does not compromise the execution of other domains. At the same time, the advances in the development of IoT applications opened discussions about the security flaws that were introduced by IoT devices. In a few years, billions of these devices will be connected to the cloud exchanging information. This is an opportunity for hackers to exploit their vulnerabilities, endangering applications connected to such devices. At this point, it is inevitable to consider virtualization as a possible approach for IoT security. In this paper we discuss how embedded virtualization could take place on IoT devices as a sound solution for security.</t>
  </si>
  <si>
    <t>EX7, EX2</t>
  </si>
  <si>
    <t>A. Iqbal et al.</t>
  </si>
  <si>
    <t>Overview of microkernel and hypervisor virtualization</t>
  </si>
  <si>
    <t>K. Sandström et al.</t>
  </si>
  <si>
    <t>Virtualization technologies in embedded real-time systems</t>
  </si>
  <si>
    <t>D. Rossier</t>
  </si>
  <si>
    <t>EmbeddedXen</t>
  </si>
  <si>
    <t>R. Mijat, A. Nightingale</t>
  </si>
  <si>
    <t>Virtualization is coming to a platform near you</t>
  </si>
  <si>
    <t>G. Heiser</t>
  </si>
  <si>
    <t>The role of virtualization in embedded systems</t>
  </si>
  <si>
    <t>Lightweight embedded virtualization exploiting TrustZone</t>
  </si>
  <si>
    <t>J. Strosnider et al.</t>
  </si>
  <si>
    <t>Deferrable server algorithm</t>
  </si>
  <si>
    <t>Q. Wang et al.</t>
  </si>
  <si>
    <t>Speck: A kernel for scalable predictability</t>
  </si>
  <si>
    <t>Multi- and many-core systems are increasingly
prevalent in embedded systems. Additionally, isolation requirements between different partitions and criticalities are gaining in
importance. This difficult combination is not well addressed by
current software systems. Parallel systems require consistency
guarantees on shared data-structures often provided by locks
that use predictable resource sharing protocols. However, as the
number of cores increase, even a single shared cache-line (e.g.
for the lock) can cause significant interference.
In this paper, we present a clean-slate design of the SPECK
kernel, the next generation of our COMPOSITE OS, that attempts
to provide a strong version of scalable predictability – where
predictability bounds made on a single core, remain constant
with an increase in cores. Results show that, despite using a
non-preemptive kernel, it has strong scalable predictability, low
average-case overheads, and demonstrates better response-times
than a state-of-the-art preemptive system.</t>
  </si>
  <si>
    <t>Z. Hua et al.</t>
  </si>
  <si>
    <t>vTZ: Virtualizing ARM TrustZone</t>
  </si>
  <si>
    <t>ARM Ltd.</t>
  </si>
  <si>
    <t>ARMv8-M Architecture Reference Manual</t>
  </si>
  <si>
    <t>P. Gadepalli et al.</t>
  </si>
  <si>
    <t>R. Pan et al.</t>
  </si>
  <si>
    <t>Predictable virtualization on MPU-based microcontrollers</t>
  </si>
  <si>
    <t>A. J. Neto, I. D. O. Nunes</t>
  </si>
  <si>
    <t>ISC-FLAT: On the conflict between control flow attestation and real-time operations</t>
  </si>
  <si>
    <t>S. Amar, T. Chen, D. Chisnall, N. W. Filardo et al.</t>
  </si>
  <si>
    <t>CHERIot RTOS: An OS for Fine-Grained Memory-Safe Compartments on Low-Cost Embedded Devices</t>
  </si>
  <si>
    <t>S. Jakkamsetti, Y. Kim, G. Tsudik</t>
  </si>
  <si>
    <t>Caveat (IoT) emptor: Towards transparency of IoT device presence</t>
  </si>
  <si>
    <t>X. Tan, Z. Ma, S. Pinto, L. Guan, N. Zhang, J. Xu et al.</t>
  </si>
  <si>
    <t>SoK: Where’s the “µP”? A Comprehensive (bottom-up) Study on the Security of Arm Cortex-M Systems</t>
  </si>
  <si>
    <t>A. Caulfield, A. J. Neto, N. Rattanavipanon et al.</t>
  </si>
  <si>
    <t>Traces: TEE-based runtime auditing for commodity embedded systems</t>
  </si>
  <si>
    <t>J. Li, R. Hou, G. Shang, H. Zhang et al.</t>
  </si>
  <si>
    <t>A. Caulfield</t>
  </si>
  <si>
    <t>Towards Secure Runtime Auditing of Remote Embedded System Software</t>
  </si>
  <si>
    <t>L. Tyler, A. Caulfield, I. D. O. Nunes</t>
  </si>
  <si>
    <t>Efficient Control Flow Attestation by Speculating on Control Flow Path Representations</t>
  </si>
  <si>
    <t>M. Seidler, A. Krause, P. Ulbrich</t>
  </si>
  <si>
    <t>Extending Lifetime of Embedded Systems by WebAssembly-based Functional Extensions Including Drivers</t>
  </si>
  <si>
    <t>Y. Kim</t>
  </si>
  <si>
    <t>Security and Privacy Techniques for IoT Devices</t>
  </si>
  <si>
    <t>I. Zagan, V. G. Găitan</t>
  </si>
  <si>
    <t>Custom Soft-Core RISC Processor Validation Based on Real-Time Event Handling Scheduler FPGA Implementation</t>
  </si>
  <si>
    <t>no virt</t>
  </si>
  <si>
    <t>S. Pinto; H. Araujo; D. Oliveira; J. Martins; A. Tavares</t>
  </si>
  <si>
    <t>Virtualization on TrustZone-Enabled Microcontrollers? Voilà!</t>
  </si>
  <si>
    <t>Link</t>
  </si>
  <si>
    <t>10.1109/RTAS.2019.00032</t>
  </si>
  <si>
    <t>G. Kortuem et al.</t>
  </si>
  <si>
    <t>Smart objects as building blocks for the Internet of Things</t>
  </si>
  <si>
    <t>P. Sparks</t>
  </si>
  <si>
    <t>The route to a trillion devices</t>
  </si>
  <si>
    <t>Gartner</t>
  </si>
  <si>
    <t>Gartner says 8.4 billion connected “things” will be in use in 2017</t>
  </si>
  <si>
    <t>Security and privacy challenges in industrial Internet of Things</t>
  </si>
  <si>
    <t>R. Ernst, M. Di Natale</t>
  </si>
  <si>
    <t>Mixed-Criticality Systems – A History of Misconceptions?</t>
  </si>
  <si>
    <t>F. Bruns et al.</t>
  </si>
  <si>
    <t>Virtualization for safety-critical, deeply-embedded devices</t>
  </si>
  <si>
    <t>P. Modica et al.</t>
  </si>
  <si>
    <t>Supporting temporal and spatial isolation in a hypervisor for ARM multicore platforms</t>
  </si>
  <si>
    <t>C. Dall, J. Nieh</t>
  </si>
  <si>
    <t>KVM/ARM: The design and implementation of the Linux ARM hypervisor</t>
  </si>
  <si>
    <t>R. West et al.</t>
  </si>
  <si>
    <t>A virtualized separation kernel for mixed-criticality systems</t>
  </si>
  <si>
    <t>F. Paci et al.</t>
  </si>
  <si>
    <t>Arm</t>
  </si>
  <si>
    <t>Automotive safety hypervisor announced for ARM Cortex-R52</t>
  </si>
  <si>
    <t>Demystifying Arm TrustZone: A comprehensive survey</t>
  </si>
  <si>
    <t>N. Santos et al.</t>
  </si>
  <si>
    <t>Using ARM TrustZone to build a trusted language runtime</t>
  </si>
  <si>
    <t>D. Sangorrin et al.</t>
  </si>
  <si>
    <t>Dual operating system architecture for real-time embedded systems</t>
  </si>
  <si>
    <t>LTZVisor: TrustZone is the key</t>
  </si>
  <si>
    <t>TrustZone technology for ARMv8-M architecture</t>
  </si>
  <si>
    <t>S. W. Kim et al.</t>
  </si>
  <si>
    <t>Secure device access for automotive software</t>
  </si>
  <si>
    <t>M. Bertogna et al.</t>
  </si>
  <si>
    <t>Schedulability analysis of global scheduling algorithms</t>
  </si>
  <si>
    <t>H. Yun et al.</t>
  </si>
  <si>
    <t>MemGuard: Memory bandwidth reservation system</t>
  </si>
  <si>
    <t>M. Xu et al.</t>
  </si>
  <si>
    <t>vCAT: Dynamic cache management using CAT virtualization</t>
  </si>
  <si>
    <t>This paper presents vCAT, a novel design for dynamic shared cache management on multicore virtualization platforms based on Intel’s Cache Allocation Technology (CAT). Our design achieves strong isolation at both task and VM levels through cache partition virtualization, which works in a similar way as memory virtualization, but has challenges that are unique to cache and CAT. To demonstrate the feasibility and benefits of our design, we provide a prototype implementation of vCAT, and we present an extensive set of microbenchmarks and performance evaluation results on the PARSEC benchmarks and synthetic workloads, for both static and dynamic allocations. The evaluation results show that (i) vCAT can be implemented with minimal overhead, (ii) it can be used to mitigate shared cache interference, which could have caused task WCET increased by up to 7.2 x, (iii) static management in vCAT can increase system utilization by up to 7 x compared to a system without cache management; and (iv) dynamic management substantially outperforms static management in terms of schedulable utilization (increase by up to 3 x in our multi-mode example use case).</t>
  </si>
  <si>
    <t>A. Crespo et al.</t>
  </si>
  <si>
    <t>Hypervisor Feedback Control of Mixed Critical Systems: the XtratuM Approach</t>
  </si>
  <si>
    <t>There is a trend to integrate into a common platform several applications with different levels of criticality. The hypervisors-based approach has been successfully experimented in several EU Projects contributing and improving some relevant challenges as temporal isolation, certification and other issues. However, the interference produced in COTS systems due to the use of the shared resources is one of the opened and unsolved problems. In this paper, we try to contribute to achieving realistic solutions to this problem. This paper proposes a feedback control scheme implemented at the hypervisor level and transparent to the partitions. The control scheme defines two controller types. One type of controller is oriented to limit the use of the shared resources, through the limitation on the bus accesses, of noncritical cores. A second type measures the activity of a critical core and takes actions on non-critical cores when the performance decreases. The hypervisor uses a Performance Monitor device that provides event counters that are configured and handled by the hypervisor. The goal of the paper is to discuss the control scheme and the hypervisor issues. The controller tuning to guarantee deadlines of critical partitions is not discussed in this paper.</t>
  </si>
  <si>
    <t>T. Frenzel et al.</t>
  </si>
  <si>
    <t>ARM TrustZone as a virtualization technique in embedded systems</t>
  </si>
  <si>
    <t>Towards a TrustZone-assisted hypervisor for real-time systems</t>
  </si>
  <si>
    <t>Arm Musca-A Test Chip Technical Reference Manual</t>
  </si>
  <si>
    <t>A. Lackorzynski et al.</t>
  </si>
  <si>
    <t>Flattening hierarchical scheduling</t>
  </si>
  <si>
    <t>M. Drescher et al.</t>
  </si>
  <si>
    <t>A flattened hierarchical scheduler for real-time virtualization</t>
  </si>
  <si>
    <t>Migrating legacy real-time software stacks to newer hardware platforms can be achieved with virtualization which allows several software stacks to run on a single machine. Existing solutions guarantee that deadlines of virtualized realtime systems are met but can only accommodate a reduced number of systems. Therefore, this paper introduces ExVM, a new scheduling framework to maximize the number of legacy uniprocessor real-time systems able to run on a single machine. Contrary to most existing solutions, ExVM uses a flattening approach where the host schedules the virtual machine which contains the task with the earliest deadline. The real-time characteristics of tasks are obtained through introspection during the execution. We implemented this framework using Linux’s SCHED DEADLINE real-time scheduling policy in the host. Simulations using an exact schedulability test show that ExVM is able to schedule 96% of randomly generated tasksets with a utilization of at least 0.8, while state-of-the-art solutions are only able to schedule 40% of the same tasksets. Experimental evaluations performed using synthetic benchmarks and production real-time applications show that ExVM always outperforms the existing solutions, always meeting more than 80% of deadlines while these solutions fall below 50% when the utilization increases.</t>
  </si>
  <si>
    <t>uRTZVisor: A secure and safe real-time hypervisor</t>
  </si>
  <si>
    <t>D. Trilla et al.</t>
  </si>
  <si>
    <t>Cache side-channel attacks and time-predictability</t>
  </si>
  <si>
    <t>Embedded computers control an increasing number of systems directly interacting with humans, while also manage more and more personal or sensitive information. As a result, both safety and security are becoming ubiquitous requirements in embedded computers, and automotive is not an exception to that. In this paper we analyze time-predictability (as an example of safety concern) and side-channel attacks (as an example of security issue) in cache memories. While injecting randomization in cache timing-behavior addresses each of those concerns separately, we show that randomization solutions for time-predictability do not protect against side-channel attacks and vice-versa. We then propose a randomization solution to achieve both safety and security goals.</t>
  </si>
  <si>
    <t>Q. Ge et al.</t>
  </si>
  <si>
    <t>Survey of microarchitectural timing attacks</t>
  </si>
  <si>
    <t>H. Kim, R. Rajkumar</t>
  </si>
  <si>
    <t>Predictable Shared Cache Management for Multi-Core Real-Time Virtualization</t>
  </si>
  <si>
    <t>Real-time virtualization has gained much attention for the consolidation of multiple real-time systems onto a single hardware platform while ensuring timing predictability. However, a shared last-level cache (LLC) on modern multi-core platforms can easily hamper the timing predictability of real-time virtualization due to the resulting temporal interference among consolidated workloads. Since such interference caused by the LLC is highly variable and may have not even existed in legacy systems to be consolidated, it poses a significant challenge for real-time virtualization. In this article, we propose a predictable shared cache management framework for multi-core real-time virtualization. Our framework introduces two hypervisor-level techniques, vLLC and vColoring, that enable the cache allocation of individual tasks running in a virtual machine (VM), which is not achievable by the current state of the art. Our framework also provides a cache management scheme that determines cache allocation to tasks, designs VMs in a cache-aware manner, and minimizes the aggregated utilization of VMs to be consolidated. As a proof of concept, we implemented vLLC and vColoring in the KVM hypervisor running on x86 and ARM multi-core platforms. Experimental results with three different guest OSs (i.e., Linux/RK, vanilla Linux, and MS Windows Embedded) show that our techniques can effectively control the cache allocation of tasks in VMs. Our cache management scheme yields a significant utilization benefit compared to other approaches while satisfying timing constraints.</t>
  </si>
  <si>
    <t>A. Bansal et al.</t>
  </si>
  <si>
    <t>Evaluating the memory subsystem of a configurable MPSoC</t>
  </si>
  <si>
    <t>This paper presents the evaluation of the memory subsystem of the Xilinx Ultrascale+ MPSoC. The characteristics of various memories in the system are evaluated using carefully instrumented micro-benchmarks. The impact of micro-architectural features like caches, prefetchers and cachecoherency are measured and discussed. The impact of multi-core contention on shared memory resources is evaluated. Finally, proposals are made for the design of mixed-criticality real-time applications on this platform.</t>
  </si>
  <si>
    <t>J. Shuja et al.</t>
  </si>
  <si>
    <t>Survey of mobile device virtualization</t>
  </si>
  <si>
    <t>U. Steinberg, B. Kauer</t>
  </si>
  <si>
    <t>NOVA: A microhypervisor-based secure virtualization architecture</t>
  </si>
  <si>
    <t>J. Hwang et al.</t>
  </si>
  <si>
    <t>Xen on ARM</t>
  </si>
  <si>
    <t>R. Ramsauer et al.</t>
  </si>
  <si>
    <t>Look Mum, no VM exits!</t>
  </si>
  <si>
    <t>Multi-core CPUs are a standard component in many modern embedded systems. Their virtualisation extensions enable the isolation of services, and gain popularity to implement mixed-criticality or otherwise split systems. We present Jailhouse, a Linux-based, OS-agnostic partitioning hypervisor that uses novel architectural approaches to combine Linux, a powerful general-purpose system, with strictly isolated special-purpose components. Our design goals favour simplicity over features, establish a minimal code base, and minimise hypervisor activity.
Direct assignment of hardware to guests, together with a deferred initialisation scheme, offloads any complex hardware handling and bootstrapping issues from the hypervisor to the general purpose OS. The hypervisor establishes isolated domains that directly access physical resources without the need for emulation or paravirtualisation. This retains, with negligible system overhead, Linux's feature-richness in uncritical parts, while frugal safety and real-time critical workloads execute in isolated, safe domains.</t>
  </si>
  <si>
    <t>BlueVisor: A Scalable Real-Time Hardware Hypervisor for Many-Core Embedded Systems</t>
  </si>
  <si>
    <t>Virtualization technology is widespread in real-time embedded systems, resulting from the availability of hardware support. Hardware assistance allows the penalties suffered by traditional software virtualization technologies to be alleviated, e.g., significant software overhead. However, current technologies are not necessarily applicable to real-time systems as they are not designed to satisfy strict timing requirements and constraints. In this paper, we propose a scalable real-time hardware hypervisor for many-core embedded system, named BlueVisor, developed from our previously proposed real-time I/O hypervisor (VCDC), I/O controller (GPIOCP) and memory interconnect (BlueTree), which enables predictable CPU, memory, and I/O virtualization, as well as fast interrupt handler, and inter-VM communication. We propose the design idea and specific implementation of the real-time hypervisor, as well as demonstrate how a BlueVisor-based virtualization system can be adequately exploited to meet the real-time requirements with significant improvements on system performance, while presenting a low performance cost executing different operating systems (OSs).</t>
  </si>
  <si>
    <t>H. Härtig et al.</t>
  </si>
  <si>
    <t>The Nizza secure-system architecture</t>
  </si>
  <si>
    <t>P. Lucas et al.</t>
  </si>
  <si>
    <t>VOSYSmonitor, a Low Latency Monitor Layer for
Mixed-Criticality Systems on ARMv8-A</t>
  </si>
  <si>
    <t>N. Cooprider et al.</t>
  </si>
  <si>
    <t>Efficient memory safety for TinyOS</t>
  </si>
  <si>
    <t>A. Levy et al.</t>
  </si>
  <si>
    <t>M. Hasan, A. Kashinath, C.Y. Chen, S. Mohan</t>
  </si>
  <si>
    <t>SoK: Security in real-time systems</t>
  </si>
  <si>
    <t>D. Cerdeira, N. Santos, P. Fonseca et al.</t>
  </si>
  <si>
    <t>SoK: Understanding the prevailing security vulnerabilities in TrustZone-assisted TEE systems</t>
  </si>
  <si>
    <t>J. Martins, A. Tavares, M. Solieri et al.</t>
  </si>
  <si>
    <t>Bao: A lightweight static partitioning hypervisor for modern multi-core embedded systems</t>
  </si>
  <si>
    <t>J. Wang, A. Li, H. Li, C. Lu, N. Zhang</t>
  </si>
  <si>
    <t>RT-TEE: Real-time system availability for cyber-physical systems using ARM TrustZone</t>
  </si>
  <si>
    <t>D. Cerdeira, J. Martins, N. Santos, S. Pinto</t>
  </si>
  <si>
    <t>ReZone: Disarming TrustZone with TEE privilege reduction</t>
  </si>
  <si>
    <t>A. Khan, D. Xu, D. Tian</t>
  </si>
  <si>
    <t>Embedded systems compartmentalization via intra-kernel isolation</t>
  </si>
  <si>
    <t>A.J. Neto, I.D.O. Nunes</t>
  </si>
  <si>
    <t>S. Amar, T. Chen, D. Chisnall, N.W. Filardo et al.</t>
  </si>
  <si>
    <t>B. Sá, L. Valente, J. Martins, D. Rossi et al.</t>
  </si>
  <si>
    <t>CVA6 RISC-V virtualization: Architecture, microarchitecture, and design space exploration</t>
  </si>
  <si>
    <t>G. Peach, R. Pan, Z. Wu, G. Parmer</t>
  </si>
  <si>
    <t>eWASM: Practical Software Fault Isolation for Reliable Embedded Devices</t>
  </si>
  <si>
    <t>SoK: Where’s the “µP”? A Comprehensive Study on the Security of Arm Cortex-M Systems</t>
  </si>
  <si>
    <t>M. Silva, D. Cerdeira, S. Pinto et al.</t>
  </si>
  <si>
    <t>Operating systems for Internet of Things low-end devices: Analysis and benchmarking</t>
  </si>
  <si>
    <t>F. Marques, M. Rodríguez, B. Sá, S. Pinto</t>
  </si>
  <si>
    <t>Interrupting the status quo: A first glance at the RISC-V Advanced Interrupt Architecture</t>
  </si>
  <si>
    <t>L. Cunha, J. Sousa, J. Azevedo, S. Pinto, T. Gomes</t>
  </si>
  <si>
    <t>Security First, Safety Next: The Next-Generation Embedded Sensors for Autonomous Vehicles</t>
  </si>
  <si>
    <t>D. Oliveira, M. Costa, S. Pinto, T. Gomes</t>
  </si>
  <si>
    <t>The future of low-end motes in the Internet of Things: A prospective paper</t>
  </si>
  <si>
    <t>D. Oliveira, T. Gomes, S. Pinto</t>
  </si>
  <si>
    <t>uTango: an open-source TEE for IoT devices</t>
  </si>
  <si>
    <t>A. Caulfield, A.J. Neto, N. Rattanavipanon et al.</t>
  </si>
  <si>
    <t>D. Costa, L. Cuomo, D. Oliveira, M. Savino et al.</t>
  </si>
  <si>
    <t>IRQ coloring: Mitigating interrupt-generated interference on ARM multicore platforms</t>
  </si>
  <si>
    <t>I. Marques, C. Rodrigues, A. Tavares, S. Pinto</t>
  </si>
  <si>
    <t>Lock-V: A heterogeneous fault tolerance architecture based on ARM and RISC-V</t>
  </si>
  <si>
    <t>C. Wang, J. Wang, M. Zhou, V. Pham et al.</t>
  </si>
  <si>
    <t>Secure information embedding in forensic 3D fingerprinting</t>
  </si>
  <si>
    <t>D. Oliveira, D. Costa, G. Moreira, J. Martins</t>
  </si>
  <si>
    <t>H-MBR: Hypervisor-Level Memory Bandwidth Reservation for Mixed-Criticality Systems</t>
  </si>
  <si>
    <t>S. Pinto, J. Martins, M. Rodríguez, L. Cunha et al.</t>
  </si>
  <si>
    <t>RISC-V Needs Secure Wheels: the MCU Initiator-Side Perspective</t>
  </si>
  <si>
    <t>The automotive industry is experiencing a massive paradigm shift. Cars are becoming increasingly autonomous, connected, and computerized. Modern electrical/electronic (E/E) architectures are pushing for an unforeseen functionality integration density, resulting in physically separate Electronic Control Units (ECUs) becoming virtualized and mapped to logical partitions within a single physical microcontroller (MCU). While functional safety (FuSa) has been pivotal for vehicle certification for decades, the increasing connectivity and advances have opened the door for a number of car hacks and attacks. This development drives (cyber-)security requirements in cars, and has paved the way for the release of the new security certification standard ISO21434. RISC-V has great potential to transform automotive computing systems, but we argue that current ISA/extensions are not ready yet. This paper provides our critical perspective on the existing RISC-V limitations, particularly on the upcoming WorldGuard technology, to address virtualized MCU requirements in line with foreseen automotive applications and ISO21434 directives. We then present our proposal for the required ISA extensions to address such limitations, mainly targeting initiator-side protection. Finally, we explain our roadmap towards a full open-source proof-of-concept (PoC), which includes extending QEMU, an open-source RISC-V core, and building a complete software stack.</t>
  </si>
  <si>
    <t>D. Ottaviano, M. Cinque, G. Manduchi</t>
  </si>
  <si>
    <t>Virtualization of accelerators in embedded systems for mixed-criticality: RPU exploitation for fusion diagnostics and control</t>
  </si>
  <si>
    <t>The need for computing systems featuring high performance, safety, security, and predictability requirements, has become essential for fusion diagnostics and control. In this scenario, the next-generation Multiprocessors System-On-Chip (MPSoCs) characterized by modern processors and hardware accelerators can expand the potential of control infrastructure. To enhance the usability, performance, and dependability of these new technologies and to reduce the deployment cost, the concept of virtualization sees its first application in embedded systems. This work aims to propose three high-level architectural solutions that leverage virtualization to exploit accelerators and Real-Time Processing Units (RPUs) present on MPSoCs to realize Mixed-Criticality Systems (MCSs). That is, systems capable to manage on a single chip real-time tasks for critical automatic control together with other value-added services on the same hardware. The problems to be solved to implement these proposals will be explained in detail to guide future works. To highlight the potential of virtualization for real-time embedded systems in fusion science scenarios we explore some use cases regarding Vertical Stabilization (VS) algorithms for plasma magnetic control that can benefit from the proposed solutions.</t>
  </si>
  <si>
    <t>M.T. Chu, S. Mahajan, M.C. Ballandies</t>
  </si>
  <si>
    <t>Depin: A framework for token-incentivized participatory sensing</t>
  </si>
  <si>
    <t>S. Alonso, J. Lázaro, J. Jiménez</t>
  </si>
  <si>
    <t>Analysing the interference of Xen hypervisor in the network speed</t>
  </si>
  <si>
    <t>he use of hypervisors is constantly growing on account of their benefits. For some applications with hard realtime constraints, it is interesting to analyze the speed reduction that could cause. MPSoC boards are suitable for the use of hypervisors thanks to having an FPGA which allows the user to design the hardware and Cortex A53 cores, with armv8 architecture, which have virtualization extensions. The board has been validated with Xen hypervisor. This paper compares five scenarios to characterize the impact of the hypervisor layer on the speed of a network connection: a standalone application, Petalinux directly running on hardware, Petalinux running in Xen Dom0, Petalinux running in Xen DomU paravirtualizing the network and a Petalinux running in Xen DomU pass-throughing the network. It also characterizes the delay of the network connection in some scenarios as a complementary measurement. All the cases are implemented in the Zynq ZCU102 board. It is shown that a Xen hypervisor layer creates a considerable reduction in network speed. Provided that the network is settled down in passthrough mode, the network speed in DomU is almost the same as if there was no hypervisor.</t>
  </si>
  <si>
    <t>EX7, EX9</t>
  </si>
  <si>
    <t>S.I. Hahm, J. Kim, A. Jeong, H. Yi, S. Chang</t>
  </si>
  <si>
    <t>Reliable real-time operating system for IoT devices</t>
  </si>
  <si>
    <t>Internet of Things (IoT) technologies have so deeply penetrated our daily lives that IoT devices have been everywhere. Not only do IoT devices provide basic means to convenient living but they also offer intelligent services tailored to diverse user needs. For instance, beyond remotely turning ON and OFF small gadgets, such as lamps and switches, users can now control appliances via smartphones and also interact with them verbally. In the backdrop of multifarious, complex IoT applications, their reliability becomes of paramount importance. This article focuses on achieving user-level reliability in an IoT operating system (OS) that executes both real-time (RT) and non-real-time (NRT) tasks concurrently. For example, smart appliances typically run RT tasks such as a motor controller, as well as NRT tasks such as Wi-Fi-based network functions, concurrently. In general, RT tasks are critical and should be protected from error-prone tasks. Otherwise, a motor controller failure may cause appliances to malfunction. To this end, we propose a novel, reliable IoT OS, called TizenRT that achieves user-level reliability through two key features, namely, fault isolation and fast recovery, while maintaining RT constraints. Our evaluation shows that TizenRT can isolate faulty tasks in memory space, while guaranteeing normal RT tasks to complete their missions within a required time, e.g., 50 μs . Moreover, corrupted tasks can be recovered within a few milliseconds, e.g., 10 ms, without the need for a system reboot. This makes TizenRT a preferred choice for mission-critical IoT applications.</t>
  </si>
  <si>
    <t>EX8</t>
  </si>
  <si>
    <t>S. Pereira, J. Sousa, S. Pinto, J. Martins</t>
  </si>
  <si>
    <t>Bao-enclave: Virtualization-based enclaves for ARM</t>
  </si>
  <si>
    <t>D. Oliveira, W. Chen, S. Pinto et al.</t>
  </si>
  <si>
    <t>Shared Resource Contention in MCUs: A Reality Check and the Quest for Timeliness</t>
  </si>
  <si>
    <t>Microcontrollers (MCUs) are steadily embracing multi-core technology to meet growing performance
demands. This trend marks a shift from their traditionally simple, deterministic designs to more
complex and inherently less predictable architectures. While shared resource contention is wellstudied in mid to high-end embedded systems, the emergence of multi-core architectures in MCUs
introduces unique challenges and characteristics that existing research has not fully explored. In this
paper, we conduct an in-depth investigation of both mainstream and next-generation MCU-based
platforms, aiming to identify the sources of contention on systems typically lacking these problems.
We empirically demonstrate substantial contention effects across different MCU architectures (i.e.,
from single- to multi-core configurations), highlighting significant application slowdowns. Notably,
we observe that slowdowns can reach several orders of magnitude, with the most extreme cases
showing up to a 3800x (times, not percent) increase in execution time. To address these issues, we
propose and evaluate µTPArtc, a novel mechanism designed for Timely Progress Assessment (TPA)
and TPA-based runtime control specifically tailored to MCUs. µTPArtc is an MCU-specialized
TPA-based mechanism that leverages hardware facilities widely available in commercial off-the-shelf
MCUs (i.e., hardware breakpoints and cycle counters) to successfully monitor applications’ progress,
detect, and mitigate timing violations. Our results demonstrate that µTPArtc effectively manages
performance degradation due to interference, requiring only minimal modifications to the build
pipeline and no changes to the source code of the target application, while incurring minor overheads.</t>
  </si>
  <si>
    <t>Excluded because the paper addresses contention monitoring and runtime throttling in MCUs but does not propose virtualization or resource partitioning mechanisms.
EX8</t>
  </si>
  <si>
    <t>Evaluating the OpenAMP framework in real-time embedded SoC platforms</t>
  </si>
  <si>
    <t>Multicore processors are becoming more and more popular in embedded systems. Asymmetric multicore processing architectures have gained the interest of researchers in the last years. They can use heterogeneous cores and allow having different Operating Systems, offering safety and isolation between the cores. OpenAMP is a greatly extended multicore framework and it provides the software components needed to develop applications for Asymmetric Multiprocessing systems. For some applications with hard real-time constraints, it is interesting to characterize the latencies introduced by this software. This paper compares the time when a timer interrupt is set with the time when it is handled. It will be measured using the Integrated Logic Analyzer in Vivado in four scenarios: 1) the application runs directly on a core for real-time applications without any OS, 2) the application runs on a real-time OS (FreeRTOS) on a core for real-time applications, 3) a Linux OS runs on general-purpose cores and the application on one core that executes real-time applications without any OS using OpenAMP and 4) a Linux OS runs on general-purpose cores and the application on one core for real-time applications with FreeRTOS using OpenAMP. It is shown that there is not much difference between the latencies in the standalone application and the FreeRTOS one and that the OpenAMP framework creates a considerable increase of the timer interrupt handler latency. This increase is more significant in FreeRTOS. The obtained results are helpful when considering the possibility of using OpenAMP in real-time applications.</t>
  </si>
  <si>
    <t>A. Khurshid, S.D. Yalew, M. Aslam</t>
  </si>
  <si>
    <t>ShieLD: Shielding Cross-Zone Communication
Within Limited-Resourced IoT Devices Running
Vulnerable Software Stack</t>
  </si>
  <si>
    <t>Securing IoT devices is gaining attention as the security risks associated with these devices increase rapidly. TrustZone-M,
a Trusted Execution Environment (TEE) for Cortex-M processors, ensures stronger security within an IoT device by allowing isolated
execution of security-critical operations, without trusting the entire software stack. However, TrustZone-M does not guarantee secure
cross-world communication between applications in the Normal and Secure worlds. The cryptographic protection of the communication
channel is an obvious solution; however, within a low-power IoT device, it incurs high overhead if applied to each cross-world message
exchange. We present ShieLD, a framework that enables a secure communication channel between the two TrustZone-M worlds by
leveraging the Memory Protection Unit (MPU). ShieLD guarantees confidentiality, integrity and authentication services without requiring
any cryptographic operations. We implement and evaluate ShieLD using a Musca-A test chip board with Cortex-M33 that supports
TrustZone-M. Our empirical evaluation shows, among other gains, the cross-zone communication protected with ShieLD is 5 times
faster than the conventional crypto-based communication</t>
  </si>
  <si>
    <t>S. Pinto, P. Machado, D. Oliveira, D. Cerdeira</t>
  </si>
  <si>
    <t>Self-secured devices: High-performance and secure I/O access in TrustZone-based systems</t>
  </si>
  <si>
    <t>Arm TrustZone is a hardware technology that adds significant value to the ongoing security picture. TrustZone-based systems typically consolidate multiple environments into the same platform, requiring resources to be shared among them. Currently, hardware devices on TrustZone-enabled system-on-chip (SoC) solutions can only be configured as secure or non-secure, which means the dual-world concept of TrustZone is not spread to the inner logic of the devices. The traditional passthrough model dictates that both worlds cannot use the same device concurrently. Furthermore, existing shared device access methods have been proven to cause a negative impact on the overall system in terms of security and performance. This work introduces the concept of self-secured devices, a novel approach for shared device access in TrustZone-based architectures. This concept extends the TrustZone dual-world model to the device itself, providing a secure and non-secure logical interface in a single device instance. The solution was deployed and evaluated on the LTZVisor, an open-source and lightweight TrustZone-assisted hypervisor. The obtained results are encouraging, demonstrating that our solution requires only a few additional hardware resources when compared with the native device implementation, while providing a secure solution for device sharing.</t>
  </si>
  <si>
    <t>J. Peixoto, J. Martins, D. Cerdeira, S. Pinto</t>
  </si>
  <si>
    <t>BiRTIO: VirtIO for real-time network interface sharing on the Bao hypervisor</t>
  </si>
  <si>
    <t>Wasm-IO: Enabling low-level device interaction in WebAssembly for industry automation</t>
  </si>
  <si>
    <t>M. Cinque, L. De Simone, D. Ottaviano</t>
  </si>
  <si>
    <t>Temporal isolation assessment in virtualized safety-critical mixed-criticality systems</t>
  </si>
  <si>
    <t>D. Oliveira, W. Chen, S. Pinto, R. Mancuso</t>
  </si>
  <si>
    <t>Investigating and mitigating contention on low-end multi-core microcontrollers</t>
  </si>
  <si>
    <t>Z. Jiang, K. Yang, N. Fisher, N. Audsley</t>
  </si>
  <si>
    <t>Pythia-MCS: Enabling quarter-clairvoyance in I/O-driven mixed-criticality systems</t>
  </si>
  <si>
    <t>Z. Zhang</t>
  </si>
  <si>
    <t>Enhancing IoT security through trusted execution environments</t>
  </si>
  <si>
    <t>M. Schönstedt, F. Brasser, P. Jauernig et al.</t>
  </si>
  <si>
    <t>SafeTEE: combining safety and security on ARM-based microcontrollers</t>
  </si>
  <si>
    <t>L. Fazzini, G. Valente, F. Federici</t>
  </si>
  <si>
    <t>Multi-Context Execution on a RISC-V Core for Mixed-Criticality Systems</t>
  </si>
  <si>
    <t>S. Mercogliano, A. Cilardo</t>
  </si>
  <si>
    <t>Umbra: An Efficient Framework for Trusted Execution on Modern TrustZone-Enabled Microcontrollers</t>
  </si>
  <si>
    <t>D. Ottaviano</t>
  </si>
  <si>
    <t>Real-Time Virtualization of Mixed-Criticality Heterogeneous Embedded Systems for Fusion Diagnostics and Control</t>
  </si>
  <si>
    <t>S. Liu, N. Guan, Z. Guo, W. Yi</t>
  </si>
  <si>
    <t>MiniTEE—A Lightweight TrustZone-Assisted TEE for Real-Time Systems</t>
  </si>
  <si>
    <t>R. Habeeb, H. Chen, M.K. Yoon, Z. Shao</t>
  </si>
  <si>
    <t>It’s a non-stop PARTEE! Practical multi-enclave availability through partitioning and asynchrony</t>
  </si>
  <si>
    <t>D. Ottaviano, M. Cinque, G. De Tommasi, S. Dubbioso</t>
  </si>
  <si>
    <t>RPUGuard: a Building Block for Next-Generation MPSoCs Hypervisors toward Mixed-Criticality Systems</t>
  </si>
  <si>
    <t>U. UMINHO, TUD UWU</t>
  </si>
  <si>
    <t>CROSSCON Open Security Stack Documentation – Draft</t>
  </si>
  <si>
    <t>A.M.M. dos Santos</t>
  </si>
  <si>
    <t>A.N.A.C.C. Ribeiro</t>
  </si>
  <si>
    <t>VirtIO Infrastructure for a Static Partition Hypervisor: virtio-blk and virtio-console</t>
  </si>
  <si>
    <t>V.H. da Silva Ribeiro</t>
  </si>
  <si>
    <t>Towards Secure Layer-2 Blockchain Solution Using TEEs</t>
  </si>
  <si>
    <t>EX3, EX7</t>
  </si>
  <si>
    <t>J.M.C. Sousa</t>
  </si>
  <si>
    <t>HSP-V: holistic static partitioning on RISC-V platforms</t>
  </si>
  <si>
    <t>EX3</t>
  </si>
  <si>
    <t>S. Mercogliano, D. Ottaviano, A. Cilardo</t>
  </si>
  <si>
    <t>Enabling Virtualization on RISC-V Microcontrollers</t>
  </si>
  <si>
    <t>This paper briefly provides the main motivations and goals to enable isolation and virtualization on MMUless devices, introducing a high-level description of an extension meant to support virtualization on RISC-V
microcontrollers through a set of new hardware mechanisms, concluding with an outline of our future directions</t>
  </si>
  <si>
    <t>R. Pan</t>
  </si>
  <si>
    <t>Efficient and Predictable Protection Domains on Resource-Constrained Embedded Systems</t>
  </si>
  <si>
    <t>Y. Wang</t>
  </si>
  <si>
    <t>Enhancing Security in TrustZone-enabled IoT Devices: An Optimization Approach for IPC</t>
  </si>
  <si>
    <t>The security of Internet-of-Things (IoT) devices has become increasingly critical due to the rapid proliferation of interconnected edge devices. TrustZone, a hardware-enforced isolation technology developed by Arm, is widely implemented in IoT devices to enhance security. Trusted Firmware- M (TF-M) takes advantage of TrustZone to create a Secure Processing Environment (SPE), isolated from the Non-Secure Processing Environment (NSPE). However, this isolation, while enabling non-secure clients to access secure services, also introduces the risk of compromising the secure world through the communication channel between SPE and NSPE - a concern that has received limited attention. This study addresses the challenge of implementing robust security measures in resource-constrained IoT environments without significantly impacting performance. A comprehensive threat analysis was conducted, focusing on the communication channel as a major attack surface. A novel Session Manager was designed and implemented within SPE, along with secure Inter-Process Communication (IPC) protocols to ensure safe data exchange. Four key security mechanisms were evaluated: hardware isolation using the Memory Protection Unit (MPU), software-based symmetric encryption, Authenticated encryption with associated data (AEAD), and a hybrid approach combining hardware isolation and software encryption. Additionally, a rate-limiting mechanism was incorporated to mitigate Denial- of-Service (DoS) attack. The evaluation results indicate that hardware-based security mechanisms provide faster processing speeds but are constrained by limited hardware resources and capabilities. Software-based solutions, while slower, offer higher security levels by effectively mitigating potential threats and providing greater flexibility and scalability. The hybrid approach demonstrates an optimal balance between security and performance, with a moderate impact on execution time, memory footprint and power consumption while maintaining system confidentiality and authenticity. These findings offer valuable insights for implementing more effective and balanced security measures in IoT devices.</t>
  </si>
  <si>
    <t>J.P.A.G.S. Reis</t>
  </si>
  <si>
    <t>Cache-based Timing Side-channels in Partitioning Hypervisors</t>
  </si>
  <si>
    <t>J.A.M. e Silva</t>
  </si>
  <si>
    <t>Arm TrustZone: evaluating the diversity of the memory subsystem</t>
  </si>
  <si>
    <t>J.N.L. da Silva</t>
  </si>
  <si>
    <t>V-Visor: lightweight virtualization for RISC-V</t>
  </si>
  <si>
    <t>F.C.P. Albuquerque</t>
  </si>
  <si>
    <t>Porting of LTZVisor to the Zynq Ultrascale+ MPSoC ZCU102 Board</t>
  </si>
  <si>
    <t>T. Kobayashi et al.</t>
  </si>
  <si>
    <t>SafeG-M: ARMv8-M TrustZone-based dual-OS execution environment</t>
  </si>
  <si>
    <t>Dasari, Dakshina; Pressler, Michael; Hamann, Arne; Ziegenbein, Dirk; Austin, Paul</t>
  </si>
  <si>
    <t>Applying reservation-based scheduling to a μC-based hypervisor: an industrial case study</t>
  </si>
  <si>
    <t>2020dasariApplyingReservationbasedScheduling.pdf</t>
  </si>
  <si>
    <t>10.23919/DATE48585.2020.9116385</t>
  </si>
  <si>
    <t>ETAS</t>
  </si>
  <si>
    <t>ETAS RTA Lightweight Hypervisor, User Manual (SPC58ECxxGHS)</t>
  </si>
  <si>
    <t>J. Strosnider, L. Sha, J. Lehoczky</t>
  </si>
  <si>
    <t>The Deferrable Server Algorithm for Enhanced Aperiodic Responsiveness in Hard Real-Time Environments</t>
  </si>
  <si>
    <t>S. Xi, J. Wilson, C. Lu, C. Gill</t>
  </si>
  <si>
    <t>RT-Xen: Towards real-time hypervisor scheduling in Xen</t>
  </si>
  <si>
    <t>SYSGO</t>
  </si>
  <si>
    <t>PikeOS Safe Real-Time Scheduling, Adaptive Time-Partitioning Scheduler for EN 50128 Certified MultiCore Platforms</t>
  </si>
  <si>
    <t>T. Cucinotta, G. Anastasi, L. Abeni</t>
  </si>
  <si>
    <t>Real-Time Virtual Machines</t>
  </si>
  <si>
    <t>A. Hamann, D. Dasari, J. Martinez, D. Ziegenbein</t>
  </si>
  <si>
    <t>Response Time Analysis for Fixed Priority Servers</t>
  </si>
  <si>
    <t>In the automotive domain, existing scheduling primitives do not suffice for complex integration scenarios involving heterogeneous applications with diverse timing requirements. Thus, there is a renewed interest to establish server based scheduling as a mainstream scheduling paradigm in automotive software development and to that end, we provide a response time analysis that provides tighter bounds than the existing state-of-the-art approaches for a system containing deferrable and periodic servers. Our proposed approach can also analyze periodic tasks with offsets and tasks with backlogged activations. We further perform experiments on LITMUSRT in order to demonstrate the tightness of the proposed response time analysis.</t>
  </si>
  <si>
    <t>J. Yang, H. Kim, S. Park, C. Hong, I. Shin</t>
  </si>
  <si>
    <t>Implementation of compositional scheduling framework on virtualization</t>
  </si>
  <si>
    <t>BlackBerry</t>
  </si>
  <si>
    <t>QNX Hypervisor</t>
  </si>
  <si>
    <t>S. Lozano, T. Lugo, J. Carretero</t>
  </si>
  <si>
    <t>A Comprehensive Survey on the Use of Hypervisors in Safety-Critical Systems</t>
  </si>
  <si>
    <t>J. Perez-Cerrolaza, P. Balbastre, E. Mezzetti</t>
  </si>
  <si>
    <t>Virtualization Technology for Dependable Embedded Systems: A Survey for Transportation and Industrial Domains</t>
  </si>
  <si>
    <t>S. Lozano Terol</t>
  </si>
  <si>
    <t>Applying Hypervisor-Based Fault Tolerance Techniques to Safety-Critical Embedded Systems</t>
  </si>
  <si>
    <t>J. L. Martínez García</t>
  </si>
  <si>
    <t>Analisi di schedulabilità real-time per sistemi embedded per automotive</t>
  </si>
  <si>
    <t>A. Zuepke; M. Bommert; D. Lohmann</t>
  </si>
  <si>
    <t>AUTOBEST: a united AUTOSAR-OS and ARINC 653 kernel</t>
  </si>
  <si>
    <t>2015zuepkeAUTOBESTUnitedAUTOSAROS.pdf</t>
  </si>
  <si>
    <t>10.1109/RTAS.2015.7108435</t>
  </si>
  <si>
    <t>ISO</t>
  </si>
  <si>
    <t>ISO 26262: Road Vehicles – Functional Safety</t>
  </si>
  <si>
    <t>RTCA</t>
  </si>
  <si>
    <t>DO-178B: Software Considerations in Airborne Systems and Equipment Certification</t>
  </si>
  <si>
    <t>AUTOSAR</t>
  </si>
  <si>
    <t>Specification of Operating System</t>
  </si>
  <si>
    <t>AEEC</t>
  </si>
  <si>
    <t>ARINC Specification 653: Avionics Application Software Standard Interface</t>
  </si>
  <si>
    <t>A. Wieder, B. B. Brandenburg</t>
  </si>
  <si>
    <t>On Spin Locks in AUTOSAR: Blocking Analysis of FIFO, Unordered, and Priority-Ordered Spin Locks</t>
  </si>
  <si>
    <t>DaimlerChrysler AG</t>
  </si>
  <si>
    <t>OSEK OS Extensions for Protected Applications</t>
  </si>
  <si>
    <t>A. Lackorzynski, A. Warg</t>
  </si>
  <si>
    <t>Virtual Processors as Kernel Interface</t>
  </si>
  <si>
    <t>W. Hofer, D. Lohmann, F. Scheler, W. Schröder-Preikschat</t>
  </si>
  <si>
    <t>Sloth: Threads as Interrupts</t>
  </si>
  <si>
    <t>A. Zuepke, M. Bommert, R. Kaiser</t>
  </si>
  <si>
    <t>Fast User Space Priority Switching</t>
  </si>
  <si>
    <t>H. Franke, R. Russell, M. Kirkwood</t>
  </si>
  <si>
    <t>Fuss, Futexes and Furwocks: Fast Userlevel Locking in Linux</t>
  </si>
  <si>
    <t>U. Drepper</t>
  </si>
  <si>
    <t>Futexes Are Tricky</t>
  </si>
  <si>
    <t>M. Beckert, M. Neukirchner, R. Ernst, S. M. Petters</t>
  </si>
  <si>
    <t>Sufficient Temporal Independence and Improved Interrupt Latencies in a Real-Time Hypervisor</t>
  </si>
  <si>
    <t>C. Herber, A. Richter, T. Wild, A. Herkersdorf</t>
  </si>
  <si>
    <t>A Network Virtualization Approach for Performance Isolation in Controller Area Network (CAN)</t>
  </si>
  <si>
    <t>D. Haworth</t>
  </si>
  <si>
    <t>An AUTOSAR-compatible Microkernel for Systems with Safety-Relevant Components</t>
  </si>
  <si>
    <t>C. Aussagues et al.</t>
  </si>
  <si>
    <t>PharOS, a Multicore OS Ready for Safety-Related Automotive Systems: Results and Future Prospects</t>
  </si>
  <si>
    <t>D. Reinhardt, G. Morgan</t>
  </si>
  <si>
    <t>An Embedded Hypervisor for Safety-Relevant Automotive E/E-Systems</t>
  </si>
  <si>
    <t>J. Delange et al.</t>
  </si>
  <si>
    <t>Validate, Simulate, and Implement ARINC653 Systems Using the AADL</t>
  </si>
  <si>
    <t>M. Masmano, I. Ripoll, A. Crespo, J. Metge</t>
  </si>
  <si>
    <t>XtratuM: A Hypervisor for Safety-Critical Embedded Systems</t>
  </si>
  <si>
    <t>R. Kaiser, S. Wagner</t>
  </si>
  <si>
    <t>Evolution of the PikeOS Microkernel</t>
  </si>
  <si>
    <t>P. Barham et al.</t>
  </si>
  <si>
    <t>Xen and the Art of Virtualization</t>
  </si>
  <si>
    <t>NOVA: A Microhypervisor-based Secure Virtualization Architecture</t>
  </si>
  <si>
    <t>K. Elphinstone, G. Heiser</t>
  </si>
  <si>
    <t>From L3 to seL4: What Have We Learnt in 20 Years of L4 Microkernels?</t>
  </si>
  <si>
    <t>LynuxWorks</t>
  </si>
  <si>
    <t>LynxOS RTOS</t>
  </si>
  <si>
    <t>V. Uhlig et al.</t>
  </si>
  <si>
    <t>Towards Scalable Multiprocessor Virtual Machines</t>
  </si>
  <si>
    <t>Linux</t>
  </si>
  <si>
    <t>vDSO – Overview of the Virtual ELF Dynamic Shared Object</t>
  </si>
  <si>
    <t>J. Liedtke, H. Wenske</t>
  </si>
  <si>
    <t>Lazy Process Switching</t>
  </si>
  <si>
    <t>D. Hart, D. Guniguntalay</t>
  </si>
  <si>
    <t>Requeue-PI: Making Glibc Condvars PI-Aware</t>
  </si>
  <si>
    <t>R. Spliet et al.</t>
  </si>
  <si>
    <t>Fast on Average, Predictable in the Worst Case: Exploring Real-Time Futexes in LITMUSRT</t>
  </si>
  <si>
    <t>A. Zuepke</t>
  </si>
  <si>
    <t>Deterministic Fast User Space Synchronisation</t>
  </si>
  <si>
    <t>B. Potteiger, A. Dubey, F. Cai, X. Koutsoukos</t>
  </si>
  <si>
    <t>Moving Target Defense for the Security and Resilience of Mixed Time- and Event-Triggered Cyber-Physical Systems</t>
  </si>
  <si>
    <t>Memory corruption attacks such as code injection, code reuse, and non-control data attacks have become widely popular for compromising safety-critical Cyber–Physical Systems (CPS). Moving target defense (MTD) techniques such as instruction set randomization (ISR), address space randomization (ASR), and data space randomization (DSR) can be used to protect systems against such attacks. CPS often use time-triggered architectures to guarantee predictable and reliable operation. MTD techniques can cause time delays with unpredictable behavior. To protect CPS against memory corruption attacks, MTD techniques can be implemented in a mixed time and event-triggered architecture that provides capabilities for maintaining safety and availability during an attack. This paper presents a mixed time and event-triggered MTD security approach based on the ARINC 653 architecture that provides predictable and reliable operation during normal operation and rapid detection and reconfiguration upon detection of attacks. We leverage a hardware-in-the-loop testbed and an advanced emergency braking system (AEBS) case study to show the effectiveness of our approach.</t>
  </si>
  <si>
    <t>A. Lyons, K. McLeod, H. Almatary, G. Heiser</t>
  </si>
  <si>
    <t>Scheduling-Context Capabilities: A Principled, Lightweight Operating-System Mechanism for Managing Time</t>
  </si>
  <si>
    <t>Mixed-criticality systems (MCS) combine real-time components of different levels of criticality - i.e. severity of failure - on the same processor, in order to obtain good resource utilisation. They must be able to guarantee deadlines of highly-critical threads without any dependence on less-critical threads. This requires strong temporal isolation, similar to the spatial isolation that is traditionally provided by operating systems, without unnecessary loss of processor utilisation. We present a model that uses scheduling contexts as first-class objects to represent time, and integrates seamlessly with the capability-based protection model of the seL4 microkernel. We show that the model comes with minimal overhead, and supports implementation of arbitrary scheduling policies as well as criticality switches at user level.</t>
  </si>
  <si>
    <t>D. Ottaviano, F. Ciraolo, R. Mancuso</t>
  </si>
  <si>
    <t>The Omnivisor: A Real-Time Static Partitioning Hypervisor Extension for Heterogeneous Core Virtualization over MPSoCs</t>
  </si>
  <si>
    <t>S. D. McLean, E. A. Juul Hansen, P. Pop</t>
  </si>
  <si>
    <t>Configuring ADAS Platforms for Automotive Applications Using Metaheuristics</t>
  </si>
  <si>
    <t>FlyOS: Rethinking Integrated Modular Avionics for Autonomous Multicopters</t>
  </si>
  <si>
    <t>no MCU</t>
  </si>
  <si>
    <t>S. D. McLean, S. S. Craciunas</t>
  </si>
  <si>
    <t>Mapping and Scheduling Automotive Applications on ADAS Platforms Using Metaheuristics</t>
  </si>
  <si>
    <t>G. Bloom, J. Sherrill</t>
  </si>
  <si>
    <t>Harmonizing ARINC 653 and Real-Time POSIX for Conformance to the FACE Technical Standard</t>
  </si>
  <si>
    <t>A. Züpke, R. Kaiser</t>
  </si>
  <si>
    <t>Deterministic Futexes: Addressing WCET and Bounded Interference Concerns</t>
  </si>
  <si>
    <t>S. Cong, M. Jianfeng, Y. Qingsong</t>
  </si>
  <si>
    <t>On the Architecture and Development Life Cycle of Secure Cyber-Physical Systems</t>
  </si>
  <si>
    <t>H. Almatary, N. C. Audsley, A. Burns</t>
  </si>
  <si>
    <t>Reducing the Implementation Overheads of IPCP and DFP</t>
  </si>
  <si>
    <t>A. Züpke</t>
  </si>
  <si>
    <t>Turning Futexes Inside-Out: Efficient and Deterministic User-Space Synchronization Primitives for Real-Time Systems with IPCP</t>
  </si>
  <si>
    <t>A. Lyons</t>
  </si>
  <si>
    <t>Mixed-Criticality Scheduling and Resource Sharing for High-Assurance Operating Systems</t>
  </si>
  <si>
    <t>M. Völp, N. Asmussen, H. Härtig</t>
  </si>
  <si>
    <t>Towards Dependable CPS Infrastructures: Architectural and Operating-System Challenges</t>
  </si>
  <si>
    <t>B. Potteiger</t>
  </si>
  <si>
    <t>A Moving Target Defense Approach Towards Security and Resilience in Cyber-Physical Systems</t>
  </si>
  <si>
    <t>A. Züpke, K. Beckmann, A. Zoor</t>
  </si>
  <si>
    <t>For Safety and Security Reasons: The Cost of Component Isolation in IoT</t>
  </si>
  <si>
    <t>The current development trend of Internet of Things (IoT) aims for a tighter integration of mobile and stationary devices via various networks. This includes communication of vehicles to roadside infrastructure (V2I), as well as intelligent sensors / actors in Logistics and smart home environments. Compared to isolated traditional embedded systems, the exposure to open networks increases the attack surface, and errors in the networking components could compromise the safety and security of the embedded application or the whole network. But often current system architectures for mass-market IoT devices lack the required isolation concepts. Using a partitioning microkernel and enforcing the use of a microcontroller's memory protection unit (MPU) facilities, we compare different isolation concepts for a publish/subscribe middleware implementing OMG's Data Distribution Service (DDS) standard and we evaluate our results on an STM32F4 microcontroller. The results of this case study show moderate costs for increased memory usage and additional context switches.</t>
  </si>
  <si>
    <t>G. Bloom, J. Sherrill, G. Gilliland</t>
  </si>
  <si>
    <t>Aligning Deos and RTEMS with the FACE Safety Base Operating System Profile</t>
  </si>
  <si>
    <t>The Open Group Future Airborne Capability Environment (FACE™) Consortium has developed a reference architecture and standard for real-time embedded avionics systems. The FACE Technical Standard defines required capabilities for real-time operating systems (RTOS), portable components, and a shared data model to facilitate information exchange between components. FACE RTOS requirements are based on ARINC 653 and POSIX 1003.1b with tailoring to address the safety and security needs of avionics systems. Deos is a safety-certified RTOS that supports ARINC 653 but not POSIX. In contrast, RTEMS is an open source RTOS that supports POSIX but not ARINC 653. Integrating a paravirtualized RTEMS with Deos combines the strengths of both and provides a path to conformance with the FACE Safety Base operating system profile. This paper presents the FACE operating system profiles and discusses the technical challenges of the paravirtualization and integration effort.</t>
  </si>
  <si>
    <t>J. Sánchez, A. da Silva, P. Parra, Ó. R. Polo</t>
  </si>
  <si>
    <t>ARINC653 Channel Robustness Verification Using LeonViP-MC, a LEON4 Multicore Virtual Platform</t>
  </si>
  <si>
    <t>Multicore hardware platforms are being incorporated into spacecraft on-board systems to achieve faster and more efficient data processing. However, such systems lead to increased complexity in software development and represent a considerable challenge, especially concerning the runtime verification of fault-tolerance requirements. To address the ever-challenging verification of this kind of requirement, we introduce a LEON4 multicore virtual platform called LeonViP-MC. LeonViP-MC is an evolution of a previous development called Leon2ViP, carried out by the Space Research Group of the University of Alcalá (SRG-UAH), which has been successfully used in the development and testing of the flight software of the instrument control unit (ICU) of the energetic particle detector (EPD) on board the Solar Orbiter. This paper describes the LeonViP-MC architectural design decisions oriented towards fault-injection campaigns to verify software fault-tolerance mechanisms. To validate the simulator, we developed an ARINC653 communications channel that incorporates fault-tolerance mechanisms and is currently being used to develop a hypervisor level for the GR740 platform.</t>
  </si>
  <si>
    <t>Efficient and Predictable Thread Synchronization Mechanisms for Mixed-Criticality Systems on Shared-Memory Multi-Processor Platforms</t>
  </si>
  <si>
    <t>B. Jungk</t>
  </si>
  <si>
    <t>Automotive Security: State of the Art and Future Challenges</t>
  </si>
  <si>
    <t>H. Fang</t>
  </si>
  <si>
    <t>Execution Environment for Integrated Real-Time Systems Based on Software-Defined Networking</t>
  </si>
  <si>
    <t>Y. Zhu, S. Luo, H. Lin, L. Huang</t>
  </si>
  <si>
    <t>Research on Security Critical Task Scheduling Algorithm Based on ARINC 653 Standard</t>
  </si>
  <si>
    <t>With the development of embedded technology, more and more security critical tasks appeared in embedded application fields, which requires higher real-time and reliability of the system. ARINC 653 standard proposed the concept of partition, and improves the security and reliability of the system in the system kernel aspect. Time-window and priority strategy are the primary methods in task scheduling, but there are many shortcomings in the traditional partition window time zoning. The smaller window requires higher switch frequency, the larger window will result unexpected time segments. In order to solve the problems above, this paper proposes a dynamic cycle execution time (DCET) scheduling algorithm. The algorithm can prevent task in low level key partition preempting the task in high level key partition. Make use of free time segments to execute the task, thus improve the efficiency of the system. At last, a partition environment was built by μC/OS-II on the ML507 development board, and the experimental result confirms the effectiveness of the algorithm.</t>
  </si>
  <si>
    <t>A. Züpke, K. Beckmann, A. Zoor, R. Kröger</t>
  </si>
  <si>
    <t>Kosten der Abschirmung von Code und Daten</t>
  </si>
  <si>
    <t>S. D. McLean, P. Pop, S. S. Craciunas</t>
  </si>
  <si>
    <t>Mapping and Scheduling of Real-Time Tasks on Multi-Core Autonomous Driving Platforms</t>
  </si>
  <si>
    <t>Modern Advanced Driver-Assistance Systems
(ADAS) merge critical and non-critical software functions
with complex timing requirements and inter-dependencies
onto the same integrated hardware platform. Real-time safetycritical automotive applications feature complex dependency
chains between tasks (e.g., performing sensing, processing and
actuation) which have to satisfy worst-case end-to-end latency
constraints. The resulting scheduling problem requires both
the assignment of tasks to the available cores of the platform
and the computation static schedule tables for the real-time
tasks, such that task deadlines, as well as end-to-end task chain
constraints, are satisfied. We propose a heuristic approach based
on Simulated Annealing (SA) which creates static schedule
tables by simulating Earliest Deadline First (EDF) scheduling
parameterized by task offsets and local deadlines decided by SA.
We evaluate the proposed solution with real-world and synthetic
test cases scaled to fit the future requirements of ADAS systems</t>
  </si>
  <si>
    <t>Rivera, J. Germ\'{a}n</t>
  </si>
  <si>
    <t>HiRTOS: A Multi-core RTOS Written in SPARK Ada</t>
  </si>
  <si>
    <t>2025riveraHiRTOSMulticoreRTOS.pdf</t>
  </si>
  <si>
    <t>10.1145/3742939.3742959</t>
  </si>
  <si>
    <t>J. German Rivera</t>
  </si>
  <si>
    <t>HiRTOS: A High-Integrity Multi-Core RTOS Kernel and Separation Kernel Written in SPARK Ada</t>
  </si>
  <si>
    <t>A. Birrell et al.</t>
  </si>
  <si>
    <t>Synchronization Primitives for a Multiprocessor: A Formal Specification</t>
  </si>
  <si>
    <t>J. W. McCormick, P. C. Chapin</t>
  </si>
  <si>
    <t>Building High Integrity Applications with SPARK</t>
  </si>
  <si>
    <t>N2731: Working Draft of the C23 Standard, Section 7.26</t>
  </si>
  <si>
    <t>L. Sha et al.</t>
  </si>
  <si>
    <t>Priority Inheritance Protocols: An Approach to Real-Time Synchronization</t>
  </si>
  <si>
    <t>J. Rushby</t>
  </si>
  <si>
    <t>Design and Verification of Secure Systems</t>
  </si>
  <si>
    <t>FreeRTOS</t>
  </si>
  <si>
    <t>ARM / Keil</t>
  </si>
  <si>
    <t>CMSIS-RTOS API v2 (CMSIS-RTOS2)</t>
  </si>
  <si>
    <t>R. Pan; G. Peach; Y. Ren; G. Parmer</t>
  </si>
  <si>
    <t>Predictable Virtualization on Memory Protection Unit-Based Microcontrollers</t>
  </si>
  <si>
    <t>2018panPredictableVirtualizationMemory.pdf</t>
  </si>
  <si>
    <t>10.1109/RTAS.2018.00012</t>
  </si>
  <si>
    <t>A. Burns, R. Davis</t>
  </si>
  <si>
    <t>Mixed Criticality Systems – A Review</t>
  </si>
  <si>
    <t>Q. Wang, Y. Ren, M. Scaperoth, G. Parmer</t>
  </si>
  <si>
    <t>Speck: A Kernel for Scalable Predictability</t>
  </si>
  <si>
    <t>H. Levy</t>
  </si>
  <si>
    <t>Capability-Based Computer Systems</t>
  </si>
  <si>
    <t>G. Parmer, R. West</t>
  </si>
  <si>
    <t>HiRes: A System for Predictable Hierarchical Resource Management</t>
  </si>
  <si>
    <t>P. K. Gadepalli, R. Gifford, L. Baier, M. Kelly, G. Parmer</t>
  </si>
  <si>
    <t>Temporal Capabilities: Access Control for Time</t>
  </si>
  <si>
    <t>Predictable Interrupt Management and Scheduling in the Composite Component-Based System</t>
  </si>
  <si>
    <t>NOVA: A Microhypervisor-Based Secure Virtualization Architecture</t>
  </si>
  <si>
    <t>S. A. Panchamukhi, F. Mueller</t>
  </si>
  <si>
    <t>Providing Task Isolation via TLB Coloring</t>
  </si>
  <si>
    <t>G. C. Hunt, J. R. Larus</t>
  </si>
  <si>
    <t>Singularity: Rethinking the Software Stack</t>
  </si>
  <si>
    <t>J. Navarro, S. Iyer, P. Druschel, A. Cox</t>
  </si>
  <si>
    <t>Transparent Operating System Support for Superpages</t>
  </si>
  <si>
    <t>J. S. Chase et al.</t>
  </si>
  <si>
    <t>Opal: A Single Address Space System for 64-Bit Architectures</t>
  </si>
  <si>
    <t>Lightweight I/O Virtualization on MPU-Enabled Microcontrollers</t>
  </si>
  <si>
    <t>SAFER SLOTH: Efficient, Hardware-Tailored Memory Protection</t>
  </si>
  <si>
    <t>Multiprogramming a 64 kB Computer Safely and Efficiently</t>
  </si>
  <si>
    <t>J. B. Dennis, E. C. V. Horn</t>
  </si>
  <si>
    <t>Programming Semantics for Multiprogrammed Computations</t>
  </si>
  <si>
    <t>B. W. Lampson</t>
  </si>
  <si>
    <t>A Note on the Confinement Problem</t>
  </si>
  <si>
    <t>L4Re Project</t>
  </si>
  <si>
    <t>The Fiasco Microkernel</t>
  </si>
  <si>
    <t>G. Klein et al.</t>
  </si>
  <si>
    <t>seL4: Formal Verification of an OS Kernel</t>
  </si>
  <si>
    <t>J. S. Shapiro, J. M. Smith, D. J. Farber</t>
  </si>
  <si>
    <t>EROS: A Fast Capability System</t>
  </si>
  <si>
    <t>B. Ford, J. Lepreau</t>
  </si>
  <si>
    <t>Evolving Mach 3.0 to a Migrating Thread Model</t>
  </si>
  <si>
    <t>J. Liedtke, K. Elphinstone</t>
  </si>
  <si>
    <t>Guarded Page Tables on MIPS R4600 or an Exercise in Architecture-Dependent Micro-Optimization</t>
  </si>
  <si>
    <t>Y. Zhang, R. West</t>
  </si>
  <si>
    <t>Process-Aware Interrupt Scheduling and Accounting</t>
  </si>
  <si>
    <t>C. Li et al.</t>
  </si>
  <si>
    <t>Prioritizing Soft Real-Time Network Traffic in Virtualized Hosts Based on Xen</t>
  </si>
  <si>
    <t>M. R. Guthaus et al.</t>
  </si>
  <si>
    <t>MiBench: A Free, Commercially Representative Embedded Benchmark Suite</t>
  </si>
  <si>
    <t>The nesC Language: A Holistic Approach to Networked Embedded Systems</t>
  </si>
  <si>
    <t>MicroPython Project</t>
  </si>
  <si>
    <t>MicroPython for Microcontrollers</t>
  </si>
  <si>
    <t>eLua Project</t>
  </si>
  <si>
    <t>MicroEJ</t>
  </si>
  <si>
    <t>MicroEJ for Microcontrollers</t>
  </si>
  <si>
    <t>Cesanta</t>
  </si>
  <si>
    <t>mJS: Embedded JavaScript Engine for C/C++</t>
  </si>
  <si>
    <t>C.-C. Han et al.</t>
  </si>
  <si>
    <t>A Dynamic Operating System for Sensor Nodes</t>
  </si>
  <si>
    <t>A. Dunkels, B. Grönvall, T. Voigt</t>
  </si>
  <si>
    <t>Contiki: A Lightweight and Flexible Operating System for Tiny Networked Sensors</t>
  </si>
  <si>
    <t>RT-TEE: Real-Time System Availability for Cyber-Physical Systems Using ARM TrustZone</t>
  </si>
  <si>
    <t>S. Pinto, H. Araújo, D. Oliveira, J. Martins</t>
  </si>
  <si>
    <t>R. Liu, L. Garcia, M. Srivastava</t>
  </si>
  <si>
    <t>Aerogel: Lightweight Access Control Framework for WebAssembly-Based Bare-Metal IoT Devices</t>
  </si>
  <si>
    <t>uTango: An Open-Source TEE for IoT Devices</t>
  </si>
  <si>
    <t>J. Li, R. Hou, G. Shang, H. Zhang</t>
  </si>
  <si>
    <t>Slite: OS Support for Near Zero-Cost, Configurable Scheduling</t>
  </si>
  <si>
    <t>Virtualization of Accelerators in Embedded Systems for Mixed-Criticality: RPU Exploitation for Fusion Diagnostics and Control</t>
  </si>
  <si>
    <t>S. I. Hahm, J. Kim, A. Jeong, H. Yi, S. Chang</t>
  </si>
  <si>
    <t>Reliable Real-Time Operating System for IoT Devices</t>
  </si>
  <si>
    <t>M. Bai, R. Pan, G. Parmer</t>
  </si>
  <si>
    <t>OmniWasm: Efficient, Granular Fault Isolation and Control-Flow Integrity for ARM Microcontrollers</t>
  </si>
  <si>
    <t>SBIs: Application Access to Safe, Bare-Metal Interrupt Latencies</t>
  </si>
  <si>
    <t>M. Grisafi, M. Ammar, B. Crispo</t>
  </si>
  <si>
    <t>On the (In)Security of Memory Protection Units: A Cautionary Note</t>
  </si>
  <si>
    <t>P. Lu, N. Xi, C. Ma, Q. Wang, D. Lu</t>
  </si>
  <si>
    <t>FC-TEE: Lightweight Trusted Execution Environment for Low-Cost UAV Flight Control Systems</t>
  </si>
  <si>
    <t>Investigating and Mitigating Contention on Low-End Multi-Core Microcontrollers</t>
  </si>
  <si>
    <t>F. Terraneo, D. Cattaneo</t>
  </si>
  <si>
    <t>Fluid Kernels: Seamlessly Conquering the Embedded Computing Continuum</t>
  </si>
  <si>
    <t>uTango: An Open-Source TEE for the Internet of Things</t>
  </si>
  <si>
    <t>Z. Deng, Z. Zhang, D. Li, Y. Guo, Y. Ye</t>
  </si>
  <si>
    <t>Interference-Free Operating System: A 6 Years’ Experience in Mitigating Cross-Core Interference in Linux</t>
  </si>
  <si>
    <t>MxU: Towards Predictable, Flexible, and Efficient Memory Access Control for the Secure IoT</t>
  </si>
  <si>
    <t>H. M. E. Araújo</t>
  </si>
  <si>
    <t>LTZVisor: A Lightweight TrustZone-Assisted Hypervisor for Low-End ARM Devices</t>
  </si>
  <si>
    <t>Lightweight and Predictable Memory Virtualization on Medium-Size Microcontrollers</t>
  </si>
  <si>
    <t>J. Wang</t>
  </si>
  <si>
    <t>Real-Time System Availability for Cyber-Physical Systems</t>
  </si>
  <si>
    <t>M. Barbareschi, S. Barone, V. Casola</t>
  </si>
  <si>
    <t>A Memory Protection Strategy for Resource-Constrained Devices in Safety-Critical Applications</t>
  </si>
  <si>
    <t>UMinho, TUD UWU</t>
  </si>
  <si>
    <t>D3.1 CROSSCON Open Security Stack Documentation (Draft)</t>
  </si>
  <si>
    <t>P. K. Gadepalli</t>
  </si>
  <si>
    <t>Predictable Isolation and Communication Support for Embedded and Real-Time Systems</t>
  </si>
  <si>
    <t>S. N. B. Zainurin</t>
  </si>
  <si>
    <t>Low-Latency Cipher for Hardware-Based Memory Protection Unit for Application in System-on-Chip Root-of-Trust</t>
  </si>
  <si>
    <t>Ottaviano D.; Ciraolo F.; Mancuso R.; Cinque M.</t>
  </si>
  <si>
    <t>2024ottavianoOmnivisorRealtimeStatic.pdf</t>
  </si>
  <si>
    <t>10.4230/LIPIcs.ECRTS.2024.7</t>
  </si>
  <si>
    <t>Fardin Abdi Taghi Abad; Renato Mancuso; Stanley Bak; Or Dantsker; Marco Caccamo</t>
  </si>
  <si>
    <t>Reset-based recovery for real-time cyber-physical systems with temporal safety constraints</t>
  </si>
  <si>
    <t>In traditional computing systems, software problems are often resolved by platform restarts. This approach, however, cannot be naïvely used in cyberphysical systems (CPS). In fact, in this class of systems, ensuring safety strictly depends on the ability to respect hard real-time constraints. Several adaptations of the Simplex architecture have been proposed to guarantee safety in spite of misbehaving software components. However, the problem of performing recovery into a fully operational state has not been extensively addressed. In this work, we discuss how resets can be used in CPS as an effective strategy to recover from a variety of software faults. Our work extends the Simplex architecture in a number of directions. First, we provide sufficient conditions under which safety is guaranteed in spite of fault-induced resets. Second, we introduce a novel technique to express not only state-dependent safety constraints, as typically done in Simplex, but also time-dependent safety properties. Finally, through a proof-of-concept minimal implementation on a small R/C helicopter and simulation-based system modeling, we show the effectiveness of the proposed recovery strategy under the assumed fault mode</t>
  </si>
  <si>
    <t>Luca Abeni; Dario Faggioli</t>
  </si>
  <si>
    <t>Using Xen and KVM as real-time hypervisors</t>
  </si>
  <si>
    <t>Benny Akesson; Mitra Nasri; Geoffrey Nelissen; Sebastian Altmeyer; Robert I. Davis</t>
  </si>
  <si>
    <t>A comprehensive survey of industry practice in real-time systems</t>
  </si>
  <si>
    <t>Sara Alonso; Jesus Lazaro; Jaime Jimenez; Leire Muguira; Unai Bidarte</t>
  </si>
  <si>
    <t>AMD</t>
  </si>
  <si>
    <t>MicroBlaze reference guide (UG984)</t>
  </si>
  <si>
    <t>ARM</t>
  </si>
  <si>
    <t>PSCI specification (Power State Coordination Interface)</t>
  </si>
  <si>
    <t>Giuseppe Avon; Arturo Buscarino; André C. Neto; Filippo Sartori</t>
  </si>
  <si>
    <t>MARTe2 embedded signal processing unit for the ITER magnetics diagnostics</t>
  </si>
  <si>
    <t>Victor Bandur; Gehan Selim; Vera Pantelic; Mark Lawford</t>
  </si>
  <si>
    <t>Making the case for centralized automotive E/E architectures</t>
  </si>
  <si>
    <t>The rapidly increasing complexity of software in modern cars dictates new trends in electrical and/or electronic (E/E) automotive architectures. As a result, many original equipment manufacturers (OEMs) and suppliers have been advocating centralized E/E architectures as the automotive architectures of the future. In this article we make the case for centralized E/E architectures in the automotive industry. We discuss the motivation for centralized architectural schemes by carefully examining challenges and drawbacks of the traditional decentralized automotive E/E architectures, while contrasting with the corresponding benefits offered by centralization. Then, the technologies required to support new centralized architectures are discussed in detail. In particular, we present the state of the art in networking technologies, virtualization, electronic control unit (ECU) hardware and AUTOSAR, and discuss the state of adoption of these technologies in industry. Throughout, functional safety is considered and addressed as an overarching concern in the automotive industry.</t>
  </si>
  <si>
    <t>Antonio Barbalace; Robert Lyerly; Christopher Jelesnianski; Anthony Carno; Ho-Ren Chuang; Vincent Legout; Binoy Ravindran</t>
  </si>
  <si>
    <t>Breaking the boundaries in heterogeneous-ISA data centers</t>
  </si>
  <si>
    <t>Antonio Barbalace; Marina Sadini; Saif Ansary; Christopher Jelesnianski; Akshay Ravichandran; Cagil Kendir; Alastair Murray; Binoy Ravindran</t>
  </si>
  <si>
    <t>Popcorn: Bridging the programmability gap in heterogeneous-ISA platforms</t>
  </si>
  <si>
    <t>Paul Barham; Boris Dragovic; Keir Fraser; Steven Hand; Tim Harris; Alex Ho; Rolf Neugebauer; Ian Pratt; Andrew Warfield</t>
  </si>
  <si>
    <t>Felix Baum; Arvind Raghuraman</t>
  </si>
  <si>
    <t>Making full use of emerging ARM-based heterogeneous multicore SoCs</t>
  </si>
  <si>
    <t>Andrew Baumann; Paul Barham; Pierre-Evariste Dagand; Tim Harris; Rebecca Isaacs; Simon Peter; Timothy Roscoe; Adrian Schüpbach; Akhilesh Singhania</t>
  </si>
  <si>
    <t>The multikernel: a new OS architecture for scalable multicore systems</t>
  </si>
  <si>
    <t>Alessandro Biondi; Daniel Casini; Giorgiomaria Cicero; Niccolò Borgioli; Giorgio Buttazzo; Gaetano Patti; Luca Leonardi; Lucia Lo Bello; Marco Solieri; Paolo Burgio; et al.</t>
  </si>
  <si>
    <t>SPHERE: A Multi-SoC architecture for next-generation cyber-physical systems based on heterogeneous platforms</t>
  </si>
  <si>
    <t>Gedare Bloom; Joel Sherrill</t>
  </si>
  <si>
    <t>Harmonizing ARINC 653 and realtime POSIX for conformance to the FACE technical standard</t>
  </si>
  <si>
    <t>Paolo Burgio; Marko Bertogna; Nicola Capodieci; Roberto Cavicchioli; Michal Sojka; Přemysl Houdek; Andrea Marongiu; Paolo Gai; Claudio Scordino; Bruno Morelli</t>
  </si>
  <si>
    <t>A software stack for next-generation automotive systems on many-core heterogeneous platforms</t>
  </si>
  <si>
    <t>Alan Burns; Robert I. Davis</t>
  </si>
  <si>
    <t>A survey of research into mixed criticality systems</t>
  </si>
  <si>
    <t>Alan Burns; Robert Ian Davis</t>
  </si>
  <si>
    <t>Mixed criticality systems – a review (Feb. 2022)</t>
  </si>
  <si>
    <t>Jon Perez Cerrolaza; Roman Obermaisser; Jaume Abella; Francisco J. Cazorla; Kim Grüttner; Irune Agirre; Hamidreza Ahmadian; Imanol Allende</t>
  </si>
  <si>
    <t>Multi-core devices for safety-critical systems: A survey</t>
  </si>
  <si>
    <t>Ravikumar V. Chakaravarthy; Hyun Kwon; Hua Jiang</t>
  </si>
  <si>
    <t>Vision control unit in fully self-driving vehicles using Xilinx MPSoC and open-source stack</t>
  </si>
  <si>
    <t>Weifan Chen; Ivan Izhibirdeev; Denis Hoornaert; Shahin Roozkhosh; Patrick Carpanedo; Sanskriti Sharma; Renato Mancuso</t>
  </si>
  <si>
    <t>Low-overhead online assessment of timely progress as a system commodity</t>
  </si>
  <si>
    <t>Alessandro Cilardo; Marcello Cinque; Luigi De Simone; Nicola Mazzocca</t>
  </si>
  <si>
    <t>Virtualization over multiprocessor system-on-chip: an enabling paradigm for industrial IoT</t>
  </si>
  <si>
    <t>Marcello Cinque; Domenico Cotroneo; Luigi De Simone; Stefano Rosiello</t>
  </si>
  <si>
    <t>Virtualizing mixed-criticality systems: A survey on industrial trends and issues</t>
  </si>
  <si>
    <t>Marcello Cinque; Luigi De Simone; Nicola Mazzocca; Daniele Ottaviano; Francesco Vitale</t>
  </si>
  <si>
    <t>Evaluating virtualization for fog monitoring of real-time applications in mixed-criticality systems</t>
  </si>
  <si>
    <t>Marcello Cinque; Gianmaria De Tommasi; Sara Dubbioso; Daniele Ottaviano</t>
  </si>
  <si>
    <t>Virtualizing real-time processing units in multi-processor systems-on-chip</t>
  </si>
  <si>
    <t>RPUGuard: Real-time processing unit virtualization for mixed-criticality applications</t>
  </si>
  <si>
    <t>Virtualization techniques are attracting interest in industrial applications to implement mixed-criticality systems taking full advance of modern embedded architectures, such as Multi-Processor Systems on Chip (MPSoCs). However, the virtualization support for important hardware accelerators, such as Real-Time Processing Units (RPUs), used for real-time and/or safety-critical workloads, is still overlooked. In this paper, we propose an architectural solution to virtualize RPUs in complex embedded systems. Specifically, we design and implement a component, named RPUGuard, which is able to guarantee isolated communication channels with a fixed bandwidth between virtual machines, running on regular Application Processing Units (APUs), and the RPU on the same MPSoC. We evaluated RPUGuard on the Zynq Ultrascale+ board, in the context of a challenging case study concerning the magnetic control system of the ITER experimental nuclear fusion reactor. Results demonstrate how our solution can mitigate the weaknesses of current asymmetric communication techniques, while providing isolation guarantees to critical communication channels. Index Terms—Mixed-Criticality, Real-time Processing Unit, Embedded Virtualization, Real-Time systems, MPSoC, Fusion engineering</t>
  </si>
  <si>
    <t>Virtualization of the RPUs(ARM Cortex R5) in a MPSoC</t>
  </si>
  <si>
    <t>Edoardo Cittadini; Mauro Marinoni; Alessandro Biondi; Giorgiomaria Cicero; Giorgio Buttazzo</t>
  </si>
  <si>
    <t>Supporting AI-powered real-time cyber-physical systems on heterogeneous platforms via hypervisor technology</t>
  </si>
  <si>
    <t>The heavy use of machine learning algorithms in safety-critical systems poses serious questions related to safety, security, and predictability issues, requiring novel architectural approaches to guarantee such properties. This paper presents an architecture solution that leverages heterogeneous platforms and virtualization technologies to support AI-powered applications consisting of modules with mixed criticalities and safety requirements. The hypervisor exploits the security features of the Xilinx ZCU104 MPSoCs to create two isolated execution environments: a high performance domain running deep learning algorithms under the Linux operating system and a safety-critical domain running control and monitoring functions under the freeRTOS real-time operating system. The proposed approach is validated by a use case consisting of an unmanned aerial vehicle capable of tracking moving targets using a deep neural network accelerated on the FGPA available on the platform.</t>
  </si>
  <si>
    <t>David J. Coe; Jeffrey H. Kulick; Aleksandar Milenkovic; Letha Etzkorn</t>
  </si>
  <si>
    <t>Virtualized in situ software update verification: verification of over-the-air automotive software updates</t>
  </si>
  <si>
    <t>Diogo Costa; Luca Cuomo; Daniel Oliveira; Ida Maria Savino; Bruno Morelli; José Martins; Fabrizio Tronci; Alessandro Biasci; Sandro Pinto</t>
  </si>
  <si>
    <t>Domenico Cotroneo; Luigi De Simone; Roberto Natella</t>
  </si>
  <si>
    <t>On temporal isolation assessment in virtualized railway signaling as a service systems</t>
  </si>
  <si>
    <t>Railway signaling systems provide numerous critical functions at different safety level, to correctly implement the entire transport ecosystem. Today, we are witnessing the increasing use of the cloud and virtualization technologies in such mixed-criticality systems, with the main goal of reducing costs, improving reliability, while providing orchestration capabilities. Unfortunately, virtualization includes several issues for assessing temporal isolation, which is critical for safety-related standards like EN50128. In this short paper, we envision leveraging the real-time flavor of a general-purpose hypervisor, like Xen, to build the Railway Signaling as a Service (RSaaS) systems of the future. We provide a preliminary background, highlighting the need for a systematic evaluation of the temporal isolation to demonstrate the feasibility of using general-purpose hypervisors in the safety-critical context for certification purposes.</t>
  </si>
  <si>
    <t>Heiko Falk; Sebastian Altmeyer; Peter Hellinckx; Björn Lisper; Wolfgang Puffitsch; Christine Rochange; Martin Schoeberl; Rasmus Bo Sørensen; Peter Wägemann; Simon Wegener</t>
  </si>
  <si>
    <t>TACLeBench: A benchmark collection to support worst-case execution time research</t>
  </si>
  <si>
    <t>Sergio Garcia-Esteban; Alejandro Serrano-Cases; Jaume Abella; Enrico Mezzetti; Francisco J. Cazorla</t>
  </si>
  <si>
    <t>Quasi isolation QoS setups to control MPSoC contention in integrated software architectures</t>
  </si>
  <si>
    <t>Google</t>
  </si>
  <si>
    <t>Dev-Board Coral datasheet</t>
  </si>
  <si>
    <t>Giovani Gracioli; Rohan Tabish; Renato Mancuso; Reza Mirosanlou; Rodolfo Pellizzoni; Marco Caccamo</t>
  </si>
  <si>
    <t>Designing mixed criticality applications on modern heterogeneous MPSoC platforms</t>
  </si>
  <si>
    <t>Yuri Gribov; Andrey Kavin; Victor Lukash; Rustam Khayrutdinov; Guido Huijsmans; Alberto Loarte; Joseph A. Snipes; Luca Zabeo</t>
  </si>
  <si>
    <t>Plasma vertical stabilisation in ITER</t>
  </si>
  <si>
    <t>Domenik Helms; Patrick Uven; Kim Grüttner</t>
  </si>
  <si>
    <t>Modular over-the-air software updates for safety-critical real-time systems</t>
  </si>
  <si>
    <t>Automotive software is undergoing a rapid change toward artificial intelligence and towards more and more connectedness with other systems. For both, an incremental design paradigm is desired, where the car's software is frequently updated after production but still can guarantee the highest automotive safety standards. We present a design flow and tool framework enabling a DevOps paradigm for automotive software development. DevOps means that software is developed in a continuous loop of development, deployment, usage in the field, collection of runtime data and feedback to the developers for the next design iteration. The software developers get support in defining, developing, and verifying new software functions based on the data gathered in the field by the previous software generation. The software developers can define contracts describing the time and resource assumptions on the integration environment and guarantees for other dependent software components in the system. These contracts allow a composition of software components and proof obligations to be discharged at design time through virtual integration testing and runtime through continuous monitoring of assumptions and guarantees on the software component's interfaces. An update package, consisting of the software component and its contracts, is then automatically created, transferred over the air, and deployed in the car. Monitors derived from the contracts allow for supervising the system's behavior, detecting failures at runtime, and annotating the situation to be included in a data collection, fueling the next design iteration.</t>
  </si>
  <si>
    <t>Yu-Ju Huang; Hsuan-Heng Wu; Yeh-Ching Chung; Wei-Chung Hsu</t>
  </si>
  <si>
    <t>Building a KVM-based hypervisor for a heterogeneous system architecture compliant system</t>
  </si>
  <si>
    <t>Intel</t>
  </si>
  <si>
    <t>ACPI specification (processor vendor-specific ACPI specification)</t>
  </si>
  <si>
    <t>Shravan Karthik; Karthik Ramanan; Nikhil Devshatwar; Subhajit Paul; Vishal Mahaveer; Sheng Zhao; Manoj Vishwanathan; Chetan Matad</t>
  </si>
  <si>
    <t>Hypervisor based approach for integrated cockpit solutions</t>
  </si>
  <si>
    <t>Avi Kivity; Yaniv Kamay; Dor Laor; Uri Lublin; Anthony Liguori</t>
  </si>
  <si>
    <t>KVM: the Linux virtual machine monitor</t>
  </si>
  <si>
    <t>Heiko Koziolek; Andreas Burger; Abdulla Puthan Peedikayil</t>
  </si>
  <si>
    <t>Fast state transfer for updates and live migration of industrial controller runtimes in container orchestration systems</t>
  </si>
  <si>
    <t>Yoojin Lim; Hyoseung Kim</t>
  </si>
  <si>
    <t>Cache-aware real-time virtualization for clustered multi-core platforms</t>
  </si>
  <si>
    <t>Felix Xiaozhu Lin; Zhen Wang; Lin Zhong</t>
  </si>
  <si>
    <t>K2: A mobile operating system for heterogeneous coherence domains</t>
  </si>
  <si>
    <t>Linux Kernel Docs</t>
  </si>
  <si>
    <t>Remote Processor Framework (remoteproc) documentation</t>
  </si>
  <si>
    <t>Tamara Lugo; Santiago Lozano; Javier Fernández; Jesus Carretero</t>
  </si>
  <si>
    <t>A survey of techniques for reducing interference in real-time applications on multicore platforms</t>
  </si>
  <si>
    <t>Jiacheng Ma; Gefei Zuo; Kevin Loughlin; Xiaohe Cheng; Yanqiang Liu; Abel Mulugeta Eneyew; Zhengwei Qi; Baris Kasikci</t>
  </si>
  <si>
    <t>A hypervisor for shared-memory FPGA platforms</t>
  </si>
  <si>
    <t>José Martins; Sandro Pinto</t>
  </si>
  <si>
    <t>Shedding light on static partitioning hypervisors for ARM-based mixed-criticality systems</t>
  </si>
  <si>
    <t>José Martins; Adriano Tavares; Marco Solieri; Marko Bertogna; Sandro Pinto</t>
  </si>
  <si>
    <t>Miguel Masmano; Ismael Ripoll; Alfons Crespo; J. Metge</t>
  </si>
  <si>
    <t>XtratuM: a hypervisor for safety critical embedded systems</t>
  </si>
  <si>
    <t>Minerva</t>
  </si>
  <si>
    <t>Jailhouse-RT GitLab repository</t>
  </si>
  <si>
    <t>Eric Missimer; Richard West; Ye Li</t>
  </si>
  <si>
    <t>Distributed real-time fault tolerance on a virtualized multi-core system</t>
  </si>
  <si>
    <t>Carlos Moratelli; Samir Zampiva; Fabiano Hessel</t>
  </si>
  <si>
    <t>Full-virtualization on MIPS-based MPSoCs embedded platforms with real-time support</t>
  </si>
  <si>
    <t>Tiago Mück; Antonio A. Fröhlich; Giovani Gracioli; Amir M. Rahmani; João Gabriel Reis; Nikil Dutt</t>
  </si>
  <si>
    <t>CHIPS-AHOy: A predictable holistic cyber-physical hypervisor for MPSoCs</t>
  </si>
  <si>
    <t>Djob Mvondo; Boris Teabe; Alain Tchana; Daniel Hagimont; Noel De Palma</t>
  </si>
  <si>
    <t>Closer: A new design principle for the privileged virtual machine OS</t>
  </si>
  <si>
    <t>Mattia Nicolella; Shahin Roozkhosh; Denis Hoornaert; Andrea Bastoni; Renato Mancuso</t>
  </si>
  <si>
    <t>RT-Bench: An extensible benchmark framework for the analysis and management of real-time applications</t>
  </si>
  <si>
    <t>NVIDIA</t>
  </si>
  <si>
    <t>Jetson AGX Orin technical brief</t>
  </si>
  <si>
    <t>Jetson Xavier Series</t>
  </si>
  <si>
    <t>NXP</t>
  </si>
  <si>
    <t>i.MX8-series processors</t>
  </si>
  <si>
    <t>Pierre Olivier; Binoy Ravindran; Antonio Barbalace</t>
  </si>
  <si>
    <t>The multihype: Virtualizing heterogeneous-ISA architectures</t>
  </si>
  <si>
    <t>D. Ottaviano; M. Cinque; G. Manduchi; S. Dubbioso</t>
  </si>
  <si>
    <t>Daniele Ottaviano</t>
  </si>
  <si>
    <t>The Omnivisor source code (GitHub repository)</t>
  </si>
  <si>
    <t>Shrinivas Anand Panchamukhi; Frank Mueller</t>
  </si>
  <si>
    <t>Providing task isolation via TLB coloring</t>
  </si>
  <si>
    <t>Ralf Ramsauer; Jan Kiszka; Daniel Lohmann; Wolfgang Mauerer</t>
  </si>
  <si>
    <t>Look mum, no VM exits! (almost)</t>
  </si>
  <si>
    <t>Ralf Ramsauer; Jan Kiszka; Wolfgang Mauerer</t>
  </si>
  <si>
    <t>A novel software architecture for mixed criticality systems</t>
  </si>
  <si>
    <t xml:space="preserve"> The advent of multi-core CPUs in nearly all embedded markets has
prompted an architectural trend towards combining safety critical and uncritical
software on single hardware units. We present a novel architecture for mixed
criticality systems based on Linux that allows us to consolidate critical and
uncritical parts onto a single hardware unit. CPU virtualisation extensions
enable strict and static partitioning of hardware by direct assignment of
resources, which allows us to boot additional operating systems or bare metal
applications running aside Linux. The hypervisor Jailhouse is at the core of the
architecture and ensures that the resulting domains may serve workloads of
different criticality and can not interfere in an unintended way. This retains
Linux’s feature-richness in uncritical parts, while frugal safety and real-time
critical applications execute in isolated domains. Architectural simplicity is a
central aspect of our approach and a precondition for reliable implementability
and successful certification. While standard virtualisation extensions provided
by current hardware seem to suffice for a straight forward implementation of our
approach, there are a number of further limitations that need to be worked
around. This paper discusses the arising issues, and evaluates the suitability of
our approach for real-world safety and real-time critical scenarios.</t>
  </si>
  <si>
    <t>Falk Rehm; Jörg Seitter; Jan-Peter Larsson; Selma Saidi; Giovanni Stea; Raffaele Zippo; Dirk Ziegenbein; Matteo Andreozzi; Arne Hamann</t>
  </si>
  <si>
    <t>The road towards predictable automotive high-performance platforms</t>
  </si>
  <si>
    <t>Due to the trends of centralizing the E/E architecture and new computing-intensive applications, high-performance hardware platforms are currently finding their way into automotive systems. However, the SoCs currently available on the market have significant weaknesses when it comes to providing predictable performance for time-critical applications. The main reason for this is that these platforms are optimized for averagecase performance. This shortcoming represents one major risk in the development of current and future automotive systems. In this paper we describe how high-performance and predictability could (and should) be reconciled in future HW/SW platforms. We believe that this goal can only be reached in a close collaboration between system suppliers, IP providers, semiconductor companies, and OS/hypervisor vendors. Furthermore, academic input will be needed to solve remaining challenges and to further improve initial solutions.
Scheda breve
Scheda completa
Scheda</t>
  </si>
  <si>
    <t>EX2,EX7</t>
  </si>
  <si>
    <t>Gero Schwäricke; Rohan Tabish; Rodolfo Pellizzoni; Renato Mancuso; Andrea Bastoni; Alexander Zuepke; Marco Caccamo</t>
  </si>
  <si>
    <t>A real-time VirtIO-based framework for predictable inter-VM communication</t>
  </si>
  <si>
    <t>Abstract—Ensuring real-time properties on current heterogeneous multiprocessor systems on a chip is a challenging task.
Furthermore, online artificial intelligent applications –which are
routinely deployed on such chips– pose increasing pressure on
the memory subsystem that becomes a source of unpredictability.
Although techniques have been proposed to restore independent
access to memory for concurrently executing virtual machines
(VM), providing predictable inter-VM communication remains
challenging. In this work, we tackle the problem of predictably
transferring data between virtual machines and virtualized hardware resources on multiprocessor systems on chips under consideration of memory interference. We design a “broker-based” realtime communication framework for otherwise isolated virtual
machines, provide a virtio-based reference implementation on top
of the Jailhouse hypervisor, assess its overheads for FreeRTOS
virtual machines, and formally analyze its communication flow
schedulability under consideration of the implementation overheads. Furthermore, we define a methodology to assess the
maximum DRAM memory saturation empirically, evaluate the
framework’s performance and compare it with the theoretical
schedulability</t>
  </si>
  <si>
    <t>Alejandro Serrano-Cases; Juan M. Reina; Jaume Abella; Enrico Mezzetti; Francisco J. Cazorla</t>
  </si>
  <si>
    <t>Leveraging hardware QoS to control contention in the Xilinx Zynq UltraScale+ MPSoC</t>
  </si>
  <si>
    <t>The interference co-running tasks generate on each other’s timing behavior continues to be one of the
main challenges to be addressed before Multi-Processor System-on-Chip (MPSoCs) are fully embraced
in critical systems like those deployed in avionics and automotive domains. Modern MPSoCs like
the Xilinx Zynq UltraScale+ incorporate hardware Quality of Service (QoS) mechanisms that can
help controlling contention among tasks. Given the distributed nature of modern MPSoCs, the route
a request follows from its source (usually a compute element like a CPU) to its target (usually a
memory) crosses several QoS points, each one potentially implementing a different QoS mechanism.
Mastering QoS mechanisms individually, as well as their combined operation, is pivotal to obtain
the expected benefits from the QoS support. In this work, we perform, to our knowledge, the first
qualitative and quantitative analysis of the distributed QoS mechanisms in the Xilinx UltraScale+
MPSoC. We empirically derive QoS information not covered by the technical documentation, and
show limitations and benefits of the available QoS support. To that end, we use a case study building
on neural network kernels commonly used in autonomous systems in different real-time domains.</t>
  </si>
  <si>
    <t>J. A. Snipes et al.</t>
  </si>
  <si>
    <t>ITER plasma control system final design and preparation for first plasma</t>
  </si>
  <si>
    <t>Parul Sohal; Rohan Tabish; Ulrich Drepper; Renato Mancuso</t>
  </si>
  <si>
    <t>Profile-driven memory bandwidth management for accelerators and CPUs in QoS-enabled platforms</t>
  </si>
  <si>
    <t>The proliferation of multi-core, accelerator-enabled embedded systems has introduced new opportunities to consolidate real-time systems of increasing complexity. But the road to build confidence on the temporal behavior of co-running applications has presented formidable challenges. Most prominently, the main memory subsystem represents a performance bottleneck for both CPUs and accelerators. And industry-viable frameworks for full-system main memory management and performance analysis are past due. In this paper, we propose our Envelope-aWare Predictive model, or E-WarP for short. E-WarP is a methodology and technological framework to: (1) analyze the memory demand of applications following a profile-driven approach; (2) make realistic predictions on the temporal behavior of workload deployed on CPUs and accelerators; and (3) perform saturation-aware system consolidation. This work aims at providing the technological foundations as well as the theoretical grassroots for truly workload-aware analysis of real-time systems. This work combines traditional CPU-centric bandwidth regulation techniques with state-of-the-art hardware support for memory traffic shaping via the ARM QoS extensions. We make three key observations. First, our profile-driven methodology achieves, on average, 6% over-prediction on the runtime of bandwidth-regulated applications. Second, we experimentally validate that the calculated bounds hold system-wide if the main memory subsystem operates below saturation. Third, we show that the E-WarP methodology is practical even when applications exhibit input-dependent memory access patterns. We provide a full implementation of our techniques on a commercial platform (NXP S32V234</t>
  </si>
  <si>
    <t>Stefano Stabellini</t>
  </si>
  <si>
    <t>Xen Project blog: True static partitioning with Xen Dom0-less</t>
  </si>
  <si>
    <t>Prathap Kumar Valsan; Heechul Yun; Farzad Farshchi</t>
  </si>
  <si>
    <t>Taming non-blocking caches to improve isolation in multicore real-time systems</t>
  </si>
  <si>
    <t>In this paper, we show that cache partitioning does not necessarily ensure predictable cache performance in modern COTS multicore platforms that use non-blocking caches to exploit memory-level-parallelism (MLP). Through carefully designed experiments using three real COTS multicore platforms (four distinct CPU architectures) and a cycleaccurate full system simulator, we show that special hardware registers in non-blocking caches, known as Miss Status Holding Registers (MSHRs), which track the status of outstanding cachemisses, can be a significant source of contention; we observe up to 21X WCET increase in a real COTS multicore platform due to MSHR contention. We propose a hardware and system software (OS) collaborative approach to efficiently eliminate MSHR contention for multicore real-time systems. Our approach includes a low-cost hardware extension that enables dynamic control of per-core MLP by the OS. Using the hardware extension, the OS scheduler then globally controls each core’s MLP in such a way that eliminates MSHR contention and maximizes overall throughput of the system. We implement the hardware extension in a cycle-accurate fullsystem simulator and the scheduler modification in Linux 3.14 kernel. We evaluate the effectiveness of our approach using a set of synthetic and macro benchmarks. In a case study, we achieve up to 19% WCET reduction (average: 13%) for a set of EEMBC benchmarks compared to a baseline cache partitioning setup</t>
  </si>
  <si>
    <t>Steven H. VanderLeest</t>
  </si>
  <si>
    <t>Designing a Future Airborne Capability Environment (FACE) hypervisor for safety and security</t>
  </si>
  <si>
    <t>A partitioning environment is one of the components of an avionics architecture aligned with the Future Airborne Capability Environment (FACE™). In this paper, we explore the design of a hypervisor to provide the partitioning specified in the FACE Technical Standard. The FACE Consortium is focused on military aviation software, with a dual emphasis on technical standards and business acquisition strategies. We provide an overview of the history and purpose of FACE, then briefly examine previous open avionics initiatives. Our hypervisor extends the Xen open source hypervisor to support the ARINC 653 partitioning standard. Adding the Application Program Interface for the ARINC 653 standard is relatively straightforward because the underlying architectural concepts align well (with a few interesting challenges). Our current work is to expand our hypervisor technology to provide the required interfaces under FACE safety and security profiles. We discuss the current state of the project, examining technical and business aspects of open source software. We conclude with a roadmap for our hypervisor technology to reach conformance with the FACE Technical Standard and eventually achieve flight and security certification.</t>
  </si>
  <si>
    <t>Steven H. VanderLeest; Dagan White</t>
  </si>
  <si>
    <t>MPSoC hypervisor: The safe &amp; secure future of avionics</t>
  </si>
  <si>
    <t>Richard West; Ye Li; Eric Missimer; Matthew Danish</t>
  </si>
  <si>
    <t>Tian Xia; Ye Tian; Jean-Christophe Prévotet; Fabienne Nouvel</t>
  </si>
  <si>
    <t>Ker-one: A new hypervisor managing FPGA reconfigurable accelerators</t>
  </si>
  <si>
    <t>In the last decade, research on CPU-FPGA hybrid architectures has become a hot topic. One of the main challenges in this domain is to efficiently and safely manage Dynamic Partial Reconfiguration (DPR) resources. This paper focuses on the management of reconfiguration by a custom hypervisor named Ker-ONE, on an ARM-FPGA platform. Using a virtualization approach, virtual machines (VM) may access resources independently, being unaware of the existence of other VMs. Our custom hypervisor guarantees the independence and isolation of VM domains. The purpose of our work is to provide an abstract and transparent interface for virtual machines to access reconfigurable resources, while meeting real-time constraints. This means that software engineers do not need to focus on implementation details. In this paper, we present a complete architecture in which hardware accelerators are seen as virtual devices which are universally mapped in each VM space as ordinary peripherals. The hypervisor automatically detects VMs’ requests for DPR resources and handles them dynamically according to a preemptive allocation mechanism. We also evaluate the efficiency of our framework by measuring the critical overhead during DPR management and allocations. The results demonstrate that our mechanisms are implemented with low overhead compared to other approaches and that they are compatible with real-time scheduling.</t>
  </si>
  <si>
    <t>Xilinx</t>
  </si>
  <si>
    <t>AXI Traffic Generator LogiCORE IP Product Guide (PG125)</t>
  </si>
  <si>
    <t>Versal Device Technical Reference Manual</t>
  </si>
  <si>
    <t>Zynq UltraScale+ Device Technical Reference Manual</t>
  </si>
  <si>
    <t>YosysHQ</t>
  </si>
  <si>
    <t>picorv32 (GitHub repository)</t>
  </si>
  <si>
    <t>Heechul Yun; Renato Mancuso; Zheng-Pei Wu; Rodolfo Pellizzoni</t>
  </si>
  <si>
    <t>PALLOC: DRAM bank-aware memory allocator for performance isolation on multicore platforms</t>
  </si>
  <si>
    <t>Heechul Yun; Gang Yao; Rodolfo Pellizzoni; Marco Caccamo; Lui Sha</t>
  </si>
  <si>
    <t>MemGuard: Memory bandwidth reservation system for efficient performance isolation in multi-core platforms</t>
  </si>
  <si>
    <t>Alexander Zuepke; Andrea Bastoni; Weifan Chen; Marco Caccamo; Renato Mancuso</t>
  </si>
  <si>
    <t>MemPol: Policing core memory bandwidth from outside of the cores</t>
  </si>
  <si>
    <t>Alexander Zuepke; Marc Bommert; Daniel Lohmann</t>
  </si>
  <si>
    <t>AutoBEST: a united AUTOSAR-OS and ARINC 653 kernel</t>
  </si>
  <si>
    <t>D. Ottaviano; M. Barletta</t>
  </si>
  <si>
    <t>Zero-Interference Containers: A Framework to Orchestrate Mixed-Criticality Applications</t>
  </si>
  <si>
    <t>J. Peixoto; J. Martins; D. Cerdeira; S. Pinto</t>
  </si>
  <si>
    <t>BiRTIO: VirtIO for Real-Time Network Interface Sharing on the Bao Hypervisor</t>
  </si>
  <si>
    <t>X. Zhao; Y. Zhang; H. Zhao; H. Zhang; Q. Ma</t>
  </si>
  <si>
    <t>TenonOS: A Self-Generating Intelligent Embedded Operating System Framework for Edge Computing</t>
  </si>
  <si>
    <t>S. Saha; S. Chakraborty; S. Agarwal</t>
  </si>
  <si>
    <t>PRECIOUS: Approximate Real-Time Computing in MLC-MRAM-based Heterogeneous CMPs</t>
  </si>
  <si>
    <t>S. Dubbioso; D. Ottaviano; F. Fiorenza</t>
  </si>
  <si>
    <t>Rapid Prototyping of Control Modules for the DTT Plasma Control System</t>
  </si>
  <si>
    <t>D. Costa; J. Martins; S. Pinto</t>
  </si>
  <si>
    <t>Beyond the Bermuda Triangle of Contention: IOMMU Interference in Mixed-Criticality Systems</t>
  </si>
  <si>
    <t>F. Boccola; M. Cinque; L. De Simone</t>
  </si>
  <si>
    <t>Orchestration of Sustainable Mixed-Criticality Systems Over Heterogeneous Edge Nodes</t>
  </si>
  <si>
    <t>S. Dubbioso; G. De Tommasi; N. Ferron; C. Galperti</t>
  </si>
  <si>
    <t>Hardware-in-the-Loop Validation of an Extremum Seeking-Based System for Vertical Stabilization of Tokamak Plasmas</t>
  </si>
  <si>
    <t>S. Du; Y. Liu; J. Luo; C. Xu; W. Quan</t>
  </si>
  <si>
    <t>Research on Resource Sharing and Scheduling Mechanism of Multi-Core Fusion System Based on Virtualization Technology</t>
  </si>
  <si>
    <t>F. Ciraolo; M. Nicolella; P. Carpanedo</t>
  </si>
  <si>
    <t>Surgical Software-less I/O Virtualization</t>
  </si>
  <si>
    <t>M. Barletta</t>
  </si>
  <si>
    <t>Mixed-Criticality Orchestration of Real-Time Containerized Systems</t>
  </si>
  <si>
    <t>M. Barletta; F. Boccola; M. Cinque; L. De Simone</t>
  </si>
  <si>
    <t>Integrating Containers and Partitioning Hypervisors for Dependable Real-Time Industrial Clouds</t>
  </si>
  <si>
    <t>A major challenge in Industry 4.0/5.0 is to meet
stringent real-time and dependability requirements for cloudnative components, which are starting to be adopted to streamline the development, update, and reconfiguration of industrial
applications. This paper addresses this challenge by proposing
the notion of partitioned containers: virtual machines running
on partitioning hypervisors but seen as containers from the
orchestration perspective. Partitioning containers pave the way to
novel orchestration primitives that take advantage of the heterogeneity of industrial infrastructures and ease the management of
real-time critical applications. We implement a Jailhouse-based
framework to build and seamlessly deploy partitioned containers
across heterogeneous industrial platforms. We use a probabilistic
model to drive orchestration decisions by considering factors
such as fault tolerance, replication, and the unpredictability of
complex hardware. Preliminary experiments show the feasibility
of partitioned containers in industrial settings</t>
  </si>
  <si>
    <t>Virtualization of the RPUs(ARM Cortex R5)  with containers in a MPSoC</t>
  </si>
  <si>
    <t>L. Neef; D. Ottaviano; D. Hoornaert; A. Zuepke</t>
  </si>
  <si>
    <t>Work-in-Progress: Toward Real-Time Cross-ISA Execution on the AMD Embedded+ Architecture</t>
  </si>
  <si>
    <t>Abstract—Emerging embedded platforms increasingly rely on
heterogeneous processing units to address diverse performance
and energy requirements. The recently introduced AMD Embedded+ architecture reflects this trend by interconnecting via
PCIe on the same motherboard one AMD x86 host processor
with one Arm AArch64+FPGA complex. This implementation is
another step forward towards a more compact heterogeneousISA platform designed with embedded applications in mind.
While cross-ISA execution has been explored in the past with
a focus on performance, programmability, and energy efficiency,
its potential for embedded and predictable real-time workloads
remains largely unexplored. In this paper, we start exploring
such potential by investigating the real-time capabilities of
the first commercial platform based on the AMD Embedded+
architecture: the Sapphire Edge+. We (1) outline key research
challenges and real-time use-cases, (2) discuss suitable software
architectures for the use-cases and highlight associated trade-offs,
and (3) report an initial assessment of the potential of such
architectures and use-cases via an experimental evaluation of
latency and bandwidth on the real hardware.</t>
  </si>
  <si>
    <t>EXCLUDED PAPERS THAT ARE KEPT FOR SNOWBALLING</t>
  </si>
  <si>
    <t>Pinto S.; Pereira J.; Gomes T.; Tavares A.; Cabral J.</t>
  </si>
  <si>
    <t>2017pintoLTZVisorTrustZoneKey.pdf</t>
  </si>
  <si>
    <t>10.4230/LIPIcs.ECRTS.2017.4</t>
  </si>
  <si>
    <t>Barham et al.</t>
  </si>
  <si>
    <t>Baum, Raghuraman</t>
  </si>
  <si>
    <t>Making Full Use of Emerging ARM-based Heterogeneous Multicore SoCs</t>
  </si>
  <si>
    <t>Cereia, Bertolotti</t>
  </si>
  <si>
    <t>Virtual Machines for Distributed Real-time Systems</t>
  </si>
  <si>
    <t>Dall, Nieh</t>
  </si>
  <si>
    <t>KVM/ARM: The Design and Implementation of the Linux ARM Hypervisor</t>
  </si>
  <si>
    <t>Frenzel et al.</t>
  </si>
  <si>
    <t>ARM TrustZone as a Virtualization Technique in Embedded Systems</t>
  </si>
  <si>
    <t>Heiser</t>
  </si>
  <si>
    <t>Virtualizing Embedded Systems: Why Bother?</t>
  </si>
  <si>
    <t>Joe et al.</t>
  </si>
  <si>
    <t>Full Virtualizing Micro Hypervisor for Spacecraft Flight Computer</t>
  </si>
  <si>
    <t>n/a</t>
  </si>
  <si>
    <t>Genode Labs</t>
  </si>
  <si>
    <t>An Exploration of ARM TrustZone Technology</t>
  </si>
  <si>
    <t>Lee, Kim, Yoo</t>
  </si>
  <si>
    <t>VADI: GPU Virtualization for an Automotive Platform</t>
  </si>
  <si>
    <t>Modern vehicles are evolving with more electronic components than ever before (In this paper, “vehicle” means “automotive vehicle.” It is also equal to “car.”) One notable example is graphical processing unit (GPU), which is a key component to implement a digital cluster. To implement the digital cluster that displays all the meters (such as speed and fuel gauge) together with infotainment services (such as navigator and browser), the GPU needs to be virtualized; however, GPU virtualization for the digital cluster has not been addressed yet. This paper presents a Virtualized Automotive DIsplay (VADI) system to virtualize a GPU and its attached display device. VADI manages two execution domains: one for the automotive control software and the other for the in-vehicle infotainment (IVI) software. Through GPU virtualization, VADI provides GPU rendering to both execution domains, and it simultaneously displays their images on a digital cluster. In addition, VADI isolates GPU from the IVI software in order to protect it from potential failures of the IVI software. We implement VADI with Vivante GC2000 GPU and perform experiments to ensure requirements of International Standard Organization (ISO) safety standards. The results show that VADI guarantees 30 frames per second (fps), which is the minimum frame rate for digital cluster mandated by ISO safety standards even with the failure of the IVI software. It also achieves 60 fps in a synthetic workload</t>
  </si>
  <si>
    <t>Masmano et al.</t>
  </si>
  <si>
    <t>Xtratum: a Hypervisor for Safety-Critical Embedded Systems</t>
  </si>
  <si>
    <t>McVoy, Staelin</t>
  </si>
  <si>
    <t>lmbench: Portable Tools for Performance Analysis</t>
  </si>
  <si>
    <t>Ngabonziza et al.</t>
  </si>
  <si>
    <t>TrustZone Explained: Architectural Features and Use Cases</t>
  </si>
  <si>
    <t>Oh et al.</t>
  </si>
  <si>
    <t>Acceleration of Dual OS Virtualization in Embedded Systems</t>
  </si>
  <si>
    <t>Patni et al.</t>
  </si>
  <si>
    <t>A zero-copy fast channel for inter-guest and guest-host communication using VirtIO-serial</t>
  </si>
  <si>
    <t>Virtualization technology, in the computer architecture domain, is characterized by the property of sharing system resources among the virtual machines (VMs) hosted on a physical server. Isolation is also a characteristic property of virtualization, which prevents the guest operating system running on these virtual machines to be aware of each other's presence on the same host. The isolation property of virtualization is essential for the security of co-resident VMs. However, this becomes a bottleneck, when some of the co-resident VMs need to communicate with each other for accomplishing a common task. A trivial method to communicate would be using a TCP/IP channel. This does accomplish the goal of communication, albeit with unsatisfactory performance, efficiency and security. In view of this, we need a mechanism which maintains the isolation characteristic of virtualization and yet provides a fast, efficient and secure channel for communication. In this paper, we discuss virtIO-serial, a fast channel for communication on KVM, an open source hypervisor based on the Linux kernel.</t>
  </si>
  <si>
    <t>Pinto et al.</t>
  </si>
  <si>
    <t>IIoTEED: Enhanced TEE for Industrial IoT Edge Devices</t>
  </si>
  <si>
    <t>With the advent of the Internet of Things (IoT), security has emerged as a major
design goal for smart connected devices. This explosion in connectivity created a
larger attack surface area. Software-based approaches have been applied for security
purposes; however, these methods must be extended with security-oriented
technologies that promote hardware as the root of trust. The arM TrustZone
can enable trusted execution environments (Tees), but existing solutions disregard
real-time needs. Here, the authors demonstrate why TrustZone is becoming a
reference technology for securing IoT edge devices, and how enhanced Tees can
help meet industrial IoT applications’ real-time requirements.</t>
  </si>
  <si>
    <t>FreeTEE: When Real-Time and Security Meet</t>
  </si>
  <si>
    <t>Abstract—The pervasive use of embedded computing systems
in modern societies altogether with the industry trend towards
consolidating workloads, openness and interconnectedness, have
raised security, safety, and real-time concerns. Virtualization has
been used as an enabler for safety and security, but research
works have proven that it must be extended and improved with
hardware-based security foundations. ARM Trustzone has been
used for the realization of Trusted Environments, however in this
case real-time requirements are completely disregarded.
This work in progress paper presents FreeTEE, an embedded
architecture that emphasizes and preserves the real-time properties of the system but still guarantees security from the outset.
TrustZone technology is exploited to implement the basic building
blocks of a Trusted Execution Environment (TEE) as a lowerpriority thread of a RTOS. Preliminary results demonstrated that
the real-time properties of the RTOS remain practically intact.
Index Terms—TrustZone, Real-time, Security, TEE, Monitor,
FreeRTOS, ARM.</t>
  </si>
  <si>
    <t>Lightweight Virtualization Architecture Exploiting ARM TrustZone</t>
  </si>
  <si>
    <t>Towards a TrustZone-Assisted Hypervisor for Real-Time Embedded Systems</t>
  </si>
  <si>
    <t>Virtualization technology starts becoming more and more widespread in the embedded space. The penalties incurred by standard software-based virtualization is pushing research towards hardware-assisted solutions. Among the existing commercial off-the-shelf technologies for secure virtualization, ARM TrustZone is attracting particular attention. However, it is often seen with some scepticism due to the dual-OS limitation of existing state-of-the-art solutions. This letter presents the implementation of a TrustZone-based hypervisor for real-time embedded systems, which allows multiple RTOS partitions on the same hardware platform. The results demonstrate that virtualization overhead is less than 2 percent for a 10 milliseconds guest-switching rate, and the system remains deterministic. This work goes beyond related work by implementing a TrustZone-assisted solution that allows the execution of an arbitrary number of guest OSes while providing the foundation to drive next generation of secure virtualization solutions for resource-constrained embedded devices.</t>
  </si>
  <si>
    <t>Pinto, Tavares, Montenegro</t>
  </si>
  <si>
    <t>Space and time partitioning with hardware support for space applications</t>
  </si>
  <si>
    <t>Reinhardt, Morgan</t>
  </si>
  <si>
    <t>Embedded Hypervisor for Automotive E/E Systems</t>
  </si>
  <si>
    <t>Russell</t>
  </si>
  <si>
    <t>Virtio: Towards a De-facto Standard for Virtual I/O Devices</t>
  </si>
  <si>
    <t>Sangorrin et al.</t>
  </si>
  <si>
    <t>Dual Operating System Architecture for RT Embedded Systems</t>
  </si>
  <si>
    <t>Schwarz et al.</t>
  </si>
  <si>
    <t>Affordable Separation on Embedded Platforms</t>
  </si>
  <si>
    <t>Steinberg, Kauer</t>
  </si>
  <si>
    <t>Sun et al.</t>
  </si>
  <si>
    <t>TrustICE: Hardware-Assisted Isolated Computing Environments</t>
  </si>
  <si>
    <t>Tavares et al.</t>
  </si>
  <si>
    <t>Rodosvisor: ARINC 653 Quasi-compliant Hypervisor</t>
  </si>
  <si>
    <t>Taylor</t>
  </si>
  <si>
    <t>Security for the Next Generation of Safe Real-Time Systems</t>
  </si>
  <si>
    <t>non esiste</t>
  </si>
  <si>
    <t>Varanasi, Heiser</t>
  </si>
  <si>
    <t>Hardware-supported Virtualization on ARM</t>
  </si>
  <si>
    <t>Wilson et al.</t>
  </si>
  <si>
    <t>Embedded Security on Dual-Virtual-CPU Systems</t>
  </si>
  <si>
    <t>Winter</t>
  </si>
  <si>
    <t>Trusted Computing on ARM TrustZone Platforms</t>
  </si>
  <si>
    <t>Zampiva et al.</t>
  </si>
  <si>
    <t>Real-Time Hypervisor on MIPS M5150</t>
  </si>
  <si>
    <t>S Pinto, N Santos</t>
  </si>
  <si>
    <t>Demystifying arm trustzone: A comprehensive survey</t>
  </si>
  <si>
    <t>M Cinque, D Cotroneo, L De Simone, …</t>
  </si>
  <si>
    <t>J Martins, A Tavares, M Solieri, …</t>
  </si>
  <si>
    <t>J Wang, A Li, H Li, C Lu, N Zhang</t>
  </si>
  <si>
    <t>Rt-tee: Real-time system availability for cyber-physical systems using arm trustzone</t>
  </si>
  <si>
    <t>J Martins, S Pinto</t>
  </si>
  <si>
    <t>Shedding light on static partitioning hypervisors for arm-based mixed-criticality systems</t>
  </si>
  <si>
    <t>M Hasan, A Kashinath, CY Chen, S Mohan</t>
  </si>
  <si>
    <t>D Cerdeira, J Martins, N Santos, S Pinto</t>
  </si>
  <si>
    <t>{ReZone}: Disarming {TrustZone} with {TEE} privilege reduction</t>
  </si>
  <si>
    <t>S Pinto, H Araujo, D Oliveira, J Martins, …</t>
  </si>
  <si>
    <t>O Demigha, R Larguet</t>
  </si>
  <si>
    <t>Hardware-based solutions for trusted cloud computing</t>
  </si>
  <si>
    <t>Z Jiang, NC Audsley, P Dong</t>
  </si>
  <si>
    <t>Bluevisor: A scalable real-time hardware hypervisor for many-core embedded systems</t>
  </si>
  <si>
    <t>DCG Valadares, NC Will, J Caminha, …</t>
  </si>
  <si>
    <t>Systematic literature review on the use of trusted execution environments to protect cloud/fog-based internet of things applications</t>
  </si>
  <si>
    <t>F Abdi, CY Chen, M Hasan, S Liu, …</t>
  </si>
  <si>
    <t>Preserving physical safety under cyber attacks</t>
  </si>
  <si>
    <t>D Casini, A Biondi, G Cicero, …</t>
  </si>
  <si>
    <t>Latency analysis of I/O virtualization techniques in hypervisor-based real-time systems</t>
  </si>
  <si>
    <t>DCG Valadares, NC Will, MA Spohn, …</t>
  </si>
  <si>
    <t>Confidential computing in cloud/fog-based Internet of Things scenarios</t>
  </si>
  <si>
    <t>H Huang, F Zhang, S Yan, T Wei, …</t>
  </si>
  <si>
    <t>SoK: A Comparison Study of Arm TrustZone and CCA</t>
  </si>
  <si>
    <t>C Mo, L Wang, S Li, K Hu, B Jiang</t>
  </si>
  <si>
    <t>Rust-Shyper: A reliable embedded hypervisor supporting VM migration and hypervisor live-update</t>
  </si>
  <si>
    <t>J Perez-Cerrolaza, P Balbastre, E Mezzetti, …</t>
  </si>
  <si>
    <t>D Oliveira, T Gomes, S Pinto</t>
  </si>
  <si>
    <t>D Costa, L Cuomo, D Oliveira, IM Savino, …</t>
  </si>
  <si>
    <t>D Costa, G Moreira, A Oliveira, J Martins, …</t>
  </si>
  <si>
    <t>SP-IMPact: A Framework for Static Partitioning Interference Mitigation and Performance Analysis</t>
  </si>
  <si>
    <t>IRQ coloring and the subtle art of mitigating interrupt-generated interference</t>
  </si>
  <si>
    <t>Z Jiang, N Audsley, P Dong, N Guan, …</t>
  </si>
  <si>
    <t>MCS-IOV: Real-time I/O virtualization for mixed-criticality systems</t>
  </si>
  <si>
    <t>In mixed-criticality systems, timely handling of I/O
is a key for the system being successfully implemented and
functioning appropriately. The criticality levels of functions and
sometimes the whole system are often dependent on the state
of the I/O. An I/O system for a MCS must provide simultaneously isolation/separation, performance/efficiency and timingpredictability, as well as being able to manage I/O resource in an
adaptive manner to facilitate efficient yet safe resource sharing
among components of different criticality levels. Existing approaches cannot achieve all of these requirements simultaneously.
This paper presents a MCS I/O management framework, termed
MCS-IOV. MCS-IOV is based on hardware assisted virtualisation,
which provides temporal and spatial isolation and prohibits fault
propagation with small extra overhead in performance. MCSIOV extends a real-time I/O virtualisation system, by supporting
the concept of mixed criticalities and customised interfaces for
schedulers, which offers good timing-preditability. MCS-IOV
supports I/O driven criticality mode switch (the mode switch
can be triggered by detection of unexpected I/O behaviors,
e.g., a higher I/O utilization than expected) and timely I/O
resource reconfiguration up on that. Finally, We evaluated and
demonstrate MCS-IOV in different aspects.</t>
  </si>
  <si>
    <t>HW hypervisor that permits IO virtualization. Tested on Microblaze and it does not need an MMU</t>
  </si>
  <si>
    <t>CF Yang, Y Shinjo</t>
  </si>
  <si>
    <t>Compounded real-time operating systems for rich real-time applications</t>
  </si>
  <si>
    <t>In embedded systems, the emergence of rich applications requires real-time operating systems (RTOSs) that provide rich features. This paper describes compounded RTOSs (cRTOSs) that provide the rich features of a general-purpose operating system (GPOS) in a traditional RTOS (tRTOS). A cRTOS partitions a physical machine with a hypervisor and executes the GPOS and tRTOS in parallel. In the cRTOS, a rich RT application executes in the tRTOS, and accesses not only the RT features of the tRTOS via local system calls but also the rich features of the GPOS via remote system calls and signals. The remote system calls and signals are built on top of remote procedure calls to a service program in the GPOS. Contrary to existing solutions such as PREEMPT_RT or Xenomai, the cRTOS does not require modification of the GPOS kernel and allows the use of a wide range of tRTOSs. This paper evaluates the proposed method by implementing three cRTOSs on Raspberry Pi 4B. They use Jailhouse as the hypervisor, Linux as the GPOS, and NuttX or FreeRTOS as the tRTOS. This paper also evaluates their usability by implementing three rich RT applications on the three cRTOSs. This paper compared the RT performance of the implemented cRTOSs to PREEMPT_RT and Xenomai using timing accuracy and interrupt latency benchmarks. The results show that the cRTOSs delivered a better RT performance with a minimum of 5 microsecond jitter and a well-bounded lower maximum latency in these two benchmarks than the other RTOSs.</t>
  </si>
  <si>
    <t>J Martins, J Alves, J Cabral, A Tavares, S Pinto</t>
  </si>
  <si>
    <t>μRTZVisor: A Secure and Safe Real-Time Hypervisor</t>
  </si>
  <si>
    <t>A Mukherjee, T Mishra, T Chantem, N Fisher, …</t>
  </si>
  <si>
    <t>Optimized trusted execution for hard real-time applications on COTS processors</t>
  </si>
  <si>
    <t>While trusted execution environments (TEE) provide industry standard security and isolation, its implementation through secure monitor calls (SMC) attribute to large time overhead and weakened temporal predictability, potentially prohibiting the use of TEE in hard real-time systems. We propose super-TEEs, where multiple trusted execution sections are fused together to amortize TEE execution overhead and improve predictability through minimized I/O traffic and reduced switching between normal mode and TEE mode of execution. Super-TEEs may, however, violate a task's timing requirement and impact the schedulability of the system. We present a technique to enforce the correct timing requirement of a task, along with a sufficient test for schedulability in uniprocessors. We also, discuss ct-RM, a static task assignment and partitioned scheduling algorithm to schedule super-TEEs, alongside other real-time tasks, on multicore systems. Experimental results on a Raspberry Pi 3B, further confirmed by simulations, show that ct-RM outperforms the state-of-the-art technique in terms of usable utilization by 12% on average and up to 27%.</t>
  </si>
  <si>
    <t>R Queiroz, T Cruz, P Simões</t>
  </si>
  <si>
    <t>Testing the limits of general-purpose hypervisors for real-time control systems</t>
  </si>
  <si>
    <t>EX2, EX9</t>
  </si>
  <si>
    <t>Z Jiang, N Audsley, P Dong</t>
  </si>
  <si>
    <t>Blueio: A scalable real-time hardware i/o virtualization system for many-core embedded systems</t>
  </si>
  <si>
    <t>Continue of the work ID1153</t>
  </si>
  <si>
    <t>A Oliveira, G Moreira, D Costa, S Pinto, …</t>
  </si>
  <si>
    <t>IA&amp;AI: Interference analysis in multi-core embedded AI systems</t>
  </si>
  <si>
    <t>Significant advances in Artificial Intelligence (AI) over the past decade have opened new aisles of exploration for industries such as automotive and industrial robotics, leading to the widespread adoption of AI. To meet the demands of modern applications, embedded platforms have evolved into highly heterogeneous designs, transitioning from simple microcontroller-based systems to intricate platforms with multiple processor units and hardware accelerators. Driven by Size, Weight, Power, and Cost (SWAP-C) constraints, both industry and academia have focused on consolidating systems with different criticality levels, referred to as mixed-criticality systems (MCS), onto a single hardware platform. However, the co-existence of heterogeneous designs can still raise several safety and security issues, which can be addressed through secure computer architectures and hypervisor technologies that provide spatial and temporal isolation features. This paper discusses the impact of MCS consolidation on AI-based applications. The setup uses the Bao hypervisor to deploy two virtual machines (VMs): one VM hosting TensorFlow Lite to run AI workloads on a Linux system, and the other supporting a bare-metal memory-intensive application. The study involves running Convolutional Neural Networks (CNNs) and Deep Neural Networks (DNNs) machine learning models (ML), based on two widely used classification datasets: MNIST and CIFAR-10, while assessing the impact of sharing platform resources with a memory-intensive application. Empirical results show that contention on last-level cache and system bus can significantly impact the inference process of an ML model up to 6.39x.</t>
  </si>
  <si>
    <t>J Röckl, M Protsenko, M Huber, T Müller, …</t>
  </si>
  <si>
    <t>Advanced system resiliency based on virtualization techniques for IoT devices</t>
  </si>
  <si>
    <t>A Oliveira, J Martins, J Cabral, …</t>
  </si>
  <si>
    <t>TZ-VirtIO: Enabling standardized inter-partition communication in a trustzone-assisted hypervisor</t>
  </si>
  <si>
    <t>Trusted Execution Environments for Cloud/Fog-based Internet of Things Applications</t>
  </si>
  <si>
    <t>S Pinto, A Oliveira, J Pereira, J Cabral, …</t>
  </si>
  <si>
    <t>Lightweight multicore virtualization architecture exploiting ARM TrustZone</t>
  </si>
  <si>
    <t>N Liu, M Yu, W Zang, RS Sandhu</t>
  </si>
  <si>
    <t>Cost and Effectiveness of TrustZone Defense and Side-Channel Attack on ARM Platform</t>
  </si>
  <si>
    <t>P Dong, Z Jiang, A Burns, Y Ding, J Ma</t>
  </si>
  <si>
    <t>Build real-time communication for hybrid dual-OS system</t>
  </si>
  <si>
    <t>G Cicero, A Biondi, G Buttazzo, …</t>
  </si>
  <si>
    <t xml:space="preserve"> A dual-hypervisor design for ARM TrustZone</t>
  </si>
  <si>
    <t>M Silva, A Tavares, T Gomes, …</t>
  </si>
  <si>
    <t>ChamelIoT: An agnostic operating system framework for reconfigurable IoT devices</t>
  </si>
  <si>
    <t>A Khurshid, SD Yalew, M Aslam, …</t>
  </si>
  <si>
    <t>Shield: Shielding cross-zone communication within limited-resourced iot devices running vulnerable software stack</t>
  </si>
  <si>
    <t>S Pinto, P Machado, D Oliveira, D Cerdeira, …</t>
  </si>
  <si>
    <t>Self-secured devices: High performance and secure I/O access in TrustZone-based systems</t>
  </si>
  <si>
    <t>J Peixoto, J Martins, D Cerdeira, S Pinto</t>
  </si>
  <si>
    <t>BiRtIO: VirtIO for Real-Time Network Interface Sharing on the Bao Hypervisor</t>
  </si>
  <si>
    <t>S Dong, D Zeng, L Gu, S Guo</t>
  </si>
  <si>
    <t>Offloading federated learning task to edge computing with trust execution environment</t>
  </si>
  <si>
    <t>L De Simone, G Mazzeo</t>
  </si>
  <si>
    <t>Isolating real-time safety-critical embedded systems via sgx-based lightweight virtualization</t>
  </si>
  <si>
    <t>D Costa, J Martins, S Pinto</t>
  </si>
  <si>
    <t>Beyond the Bermuda Triangle of Contention: IOMMU Interference in Mixed Criticality Systems</t>
  </si>
  <si>
    <t>Towards a green and secure architecture for reconfigurable IoT end-devices</t>
  </si>
  <si>
    <t>M Costa, R Moreira, J Cabral, J Dias, S Pinto</t>
  </si>
  <si>
    <t>Wall screen: An ultra-high definition video-card for the internet of things</t>
  </si>
  <si>
    <t>J Seo, S Lee, KI Kim, KH Kim</t>
  </si>
  <si>
    <t>A fine-grained secure service provisioning platform for hypervisor systems</t>
  </si>
  <si>
    <t>JPA Ribeiro</t>
  </si>
  <si>
    <t>A TrustZone-assisted hypervisor supporting dynamic partial reconfiguration</t>
  </si>
  <si>
    <t>Z Jiang</t>
  </si>
  <si>
    <t>Real-time i/o system for many-core embedded systems</t>
  </si>
  <si>
    <t>N Liu</t>
  </si>
  <si>
    <t>Adaptive noise injection against side-channel attacks on ARM platform</t>
  </si>
  <si>
    <t>M Bawatna, B Ranjbar, A Kumar</t>
  </si>
  <si>
    <t>A Hybrid Scheduling Mechanism for Multi-programming in Mixed-Criticality Systems</t>
  </si>
  <si>
    <t>M Schönstedt, F Brasser, P Jauernig, …</t>
  </si>
  <si>
    <t>JDB Lavernelle, PF Bonnefoi, …</t>
  </si>
  <si>
    <t>DMA: A Persistent Threat to Embedded Systems Isolation</t>
  </si>
  <si>
    <t>W Min, Y Tian, Z Huang, WH Cheng, …</t>
  </si>
  <si>
    <t>Urban multimedia computing: emerging methods in multimedia computing for urban data analysis and applications</t>
  </si>
  <si>
    <t>J Vankeirsbilck, J Boydens, H Hallez</t>
  </si>
  <si>
    <t>Advancing control flow error detection techniques for embedded software using automated implementation and fault injection</t>
  </si>
  <si>
    <t>HME Araújo</t>
  </si>
  <si>
    <t>lLTZVisor: a lightweight TrustZone-assisted hypervisor for low-end Arm devices</t>
  </si>
  <si>
    <t>2018araujolLTZVisorLightweightTrustZone.pdf</t>
  </si>
  <si>
    <t>The paper is a master thesis, so it shoud be excluded for EX2. However, it is indexed in ACM, so we could maybe include it. In any case from this thesis the paper from Pinto (voilà!) was made
EX2</t>
  </si>
  <si>
    <t>J Wang</t>
  </si>
  <si>
    <t>RT-TEE: Real-Time System Availability for Cyber-Physical Systems</t>
  </si>
  <si>
    <t>tesi</t>
  </si>
  <si>
    <t>JC Martins</t>
  </si>
  <si>
    <t>Ontology-driven metamodeling towards hypervisor design automation: microkernel infrastructure</t>
  </si>
  <si>
    <t>DM Cerdeira</t>
  </si>
  <si>
    <t>Towards Trustworthy TrustZone-Assisted TEEs</t>
  </si>
  <si>
    <t>S Pinto, J Martins, J Lopes, M Abreu, …</t>
  </si>
  <si>
    <t>SecSSy hypervisor: Security-safety synergy for aerospace</t>
  </si>
  <si>
    <t>F Abdi Taghi Abad</t>
  </si>
  <si>
    <t>Safety and security of cyber-physical systems</t>
  </si>
  <si>
    <t>E Michelin</t>
  </si>
  <si>
    <t>On the Enforcement of Attestable Availability Guarantees for Arm-based Industrial Multi-Tenant Real-Time Systems</t>
  </si>
  <si>
    <t>BV De Sá</t>
  </si>
  <si>
    <t>RISC-V lightweight virtualization extensions</t>
  </si>
  <si>
    <t>S Liu, N Guan, Z Guo, W Yi</t>
  </si>
  <si>
    <t>SAG Pereira</t>
  </si>
  <si>
    <t>A TrustZone-assisted secure silicon on a co-design framework</t>
  </si>
  <si>
    <t>T Mishra</t>
  </si>
  <si>
    <t>Parallelizing Trusted Execution Environments for Multicore Hard Real-Time Systems</t>
  </si>
  <si>
    <t>J Zhe</t>
  </si>
  <si>
    <t>How to Build a Mixed-Criticality System in Industry?</t>
  </si>
  <si>
    <t>R Habeeb, H Chen, MK Yoon, Z Shao</t>
  </si>
  <si>
    <t>It'sa non-stop PARTEE! Practical multi-enclave availability through partitioning and asynchrony</t>
  </si>
  <si>
    <t>Abstract—Due to the growing third-party software stack necessary to build modern data-rich robotics and cyber-physical systems (CPS), it has become important to protect safety-critical
and timing-sensitive programs and their communication—even
against an adversarial rich operating system (OS). Enclaves
and Trusted Execution Environments (TEEs) are often used
to protect code and memory against an untrusted OS, but
they generally do not have good availability protections. To
illustrate, we present three attacks, showing that even with
secure timer access and memory protections, existing TEE
platforms still face challenges in achieving availability.
In response, we present PARTEE, the first design and
implementation of a “partitioning” TEE OS for the diverse,
distributed, and time-sensitive robotics software ecosystem.
PARTEE ensures time-sensitive enclaves cannot be denied service by partitioning system resources, providing reliable communication channels and a time-sensitive system call interface.
We analyze the security and performance of PARTEE using an
unmanned aerial vehicle implemented on the Raspberry Pi4B
using the ARM TrustZone, and show that despite the behavior
of an adversarial partition or a rich OS, the drone’s most
safety-critical enclaves remain available and can communicate
to prevent harm or damage.</t>
  </si>
  <si>
    <t>AMM dos Santos</t>
  </si>
  <si>
    <t>ANACC Ribeiro</t>
  </si>
  <si>
    <t>NM Iliakopoulou</t>
  </si>
  <si>
    <t>Virtualization Techniques on Embedded Systems with further application on Satellites</t>
  </si>
  <si>
    <t>MT Khan, D Serpanos, H Shrobe</t>
  </si>
  <si>
    <t>A formally reliable cognitive middleware for the security of industrial control systems</t>
  </si>
  <si>
    <t>In this paper, we present our results on the formal reliability analysis of the behavioral correctness of our cognitive middleware ARMET. The formally assured behavioral correctness of a software system is a fundamental prerequisite for the system’s security. Therefore, the goal of this study is to, first, formalize the behavioral semantics of the middleware and, second, to prove its behavioral correctness. In this study, we focus only on the core and critical component of the middleware: the execution monitor. The execution monitor identifies inconsistencies between runtime observations of an industrial control system (ICS) application and predictions of the specification of the application. As a starting point, we have defined the formal (denotational) semantics of the observations (produced by the application at run-time), and predictions (produced by the executable specification of the application). Then, based on the formal semantices, we have formalized the behavior of the execution monitor. Finally, based on the semantics, we have proved soundness (absence of false alarms) and completeness (detection of arbitrary attacks) to assure the behavioral correctness of the monitor.</t>
  </si>
  <si>
    <t>A Nagvekar</t>
  </si>
  <si>
    <t>IMPLEMENTING SOFTWARE ISOLATION IN RESOURCE-CONSTRAINED EMBEDDED SYSTEMS</t>
  </si>
  <si>
    <t>EX2, EX7</t>
  </si>
  <si>
    <t>M Hesse</t>
  </si>
  <si>
    <t>Extending the lifecycle of IoT devices using selective deactivation</t>
  </si>
  <si>
    <t>D Pan, Z Jiang, A Burns, Y Ding, J Ma</t>
  </si>
  <si>
    <t>Work-In-Progress: Real-Time RPC for Hybrid Dual-OS System</t>
  </si>
  <si>
    <t>For the power and space sensitive systems such as automotive/avionic computers, an important trend is isolating and integrating multiple Operating Systems (OSs) in one physical platform, which is named as hybrid multi-OS system. Generally, in a commonly used hybrid dual-OS system, a RTOS (realtime operating system) and a GPOS (general-purpose operating system) are integrated. Cooperation (among the OSs) is a vital feature of a hybrid system to obtain the necessary capabilities, and inter-OS communication is the key. However, it is difficult to satisfy the real-time metrics of inter-OS communication required by the RTOS, due to the uncertainty in communication maintenance and the time-sharing policy of the GPOS. This paper aims to build a time predictable and secure RPC mechanism (i.e., the primary and critical communication unit in a hybrid multi-OS system). Afterwards, a real-time RPC scheme (termed RTRGRPC) is proposed, which is applied to a ready-built TrustZonebased hybrid dual-OS system (i.e., TZDKS). RTRG-RPC achieves accurate time control through three mechanisms: SGI message transforming, interrupt handler RPC servicing, and priorityswapping. Evaluations show that RTRG-RPC can achieve realtime predictability and can also reduce priority inversion.</t>
  </si>
  <si>
    <t>A Mukherjee</t>
  </si>
  <si>
    <t>Power-Performance-Predictability: Managing the Three Cornerstones of Resource Constrained Real-Time System Design</t>
  </si>
  <si>
    <t>JPAGS Reis</t>
  </si>
  <si>
    <t>JAM e Silva</t>
  </si>
  <si>
    <t>JPAG da Silva</t>
  </si>
  <si>
    <t>Cache-Based Timing Side-Channels in Partitioning Hypervisors</t>
  </si>
  <si>
    <t>FCP Albuquerque</t>
  </si>
  <si>
    <t>S Pereira, A Tavares, S Pinto</t>
  </si>
  <si>
    <t>Towards a Secure Hardware-Software Co-Designed Framework for Reconfigurable Platforms</t>
  </si>
  <si>
    <t>Virtualization technology has become widespread in
the embedded systems field, due to the upward trend of integrating multiple environments into the same hardware platform. Existent traditional virtualization solutions have shown to negatively
impact the overall system, especially on performance, memory
footprint and determinism. So, hardware-based virtualization
solutions are gaining increasing attention. ARM TrustZone is
an alternative form of system virtualization which is gaining
momentum, as well as disruptive virtualization approaches which
make use of field-programmable gate array (FPGA). This work in
progress proposes the development of a secure hardware-software
co-designed framework. LTZVisor will be extended to synergically offload hypervisor and real-time operating system (RTOS)
services to hardware. A use case application for monitoring and
control an inverted pendulum will prove the applicability of the
framework. Promising research roadmap is delineated</t>
  </si>
  <si>
    <t>RJR Roriz</t>
  </si>
  <si>
    <t>Enabling system survival across hypervisor failures</t>
  </si>
  <si>
    <t>AASF Lopes</t>
  </si>
  <si>
    <t>Porting LTZVisor to i. MX 6Quad SD</t>
  </si>
  <si>
    <t>NAC da Silva</t>
  </si>
  <si>
    <t>Hardware IPC for a TrustZone-assisted Hypervisor</t>
  </si>
  <si>
    <t>PMS Machado</t>
  </si>
  <si>
    <t>Self-Secured Devices: Securing shared device access on TrustZone-based systems</t>
  </si>
  <si>
    <t>DCG Valadares</t>
  </si>
  <si>
    <t>A trusted execution environment-based architecture for cloud/fog-based IOT applications</t>
  </si>
  <si>
    <t>M Silva, S Pinto, J Cabral, V Bexiga, F Piedade, …</t>
  </si>
  <si>
    <t>WallScreen: Plataforma de Nova Geraçao para a Gestao de Vıdeo 8K UHD</t>
  </si>
  <si>
    <t>no english</t>
  </si>
  <si>
    <t>JDLTM Lopes</t>
  </si>
  <si>
    <t>Os Meios de Ral: Uma Alternativa Integrada</t>
  </si>
  <si>
    <t>L Roman, JC Bauduin, R Sadre</t>
  </si>
  <si>
    <t>Improving security in embedded systems secure multitasking in the ESP privilege separation framework</t>
  </si>
  <si>
    <t>S. Pinto; J. Pereira; T. Gomes; M. Ekpanyapong; A. Tavares</t>
  </si>
  <si>
    <t>2017pintoTrustZoneAssistedHypervisorRealTime.pdf</t>
  </si>
  <si>
    <t>10.1109/LCA.2016.2617308</t>
  </si>
  <si>
    <t>ARM Security Technology – Building a Secure System using TrustZone Technology</t>
  </si>
  <si>
    <t>M. Cereia; I. Bertolotti</t>
  </si>
  <si>
    <t>Asymmetric Virtualisation for Real-Time Systems</t>
  </si>
  <si>
    <t>C. Dall; J. Nieh</t>
  </si>
  <si>
    <t>S. Daniel; S. Honda; H. Takada</t>
  </si>
  <si>
    <t>Dual Operating System Architecture for Real-Time Embedded Systems</t>
  </si>
  <si>
    <t>T. Frenzel; A. Lackorzynski; A. Warg; H. Härtig</t>
  </si>
  <si>
    <t>Virtualizing Embedded Systems – Why Bother?</t>
  </si>
  <si>
    <t>C.-t. Liu; K.-c. Chen; C.-h. Chen</t>
  </si>
  <si>
    <t>CASL Hypervisor and its Virtualization Platform</t>
  </si>
  <si>
    <t>M. Masmano; I. Ripoll; A. Crespo; J. Metge</t>
  </si>
  <si>
    <t>S. Pinto; D. Oliveira; J. Pereira; N. Cardoso; M. Ekpanyapong; J. Cabral; A. Tavares</t>
  </si>
  <si>
    <t>Towards a Lightweight Embedded Virtualization Architecture Exploiting ARM TrustZone</t>
  </si>
  <si>
    <t>M. Rosenblum; T. Garfinkel</t>
  </si>
  <si>
    <t>Virtual Machine Monitors: Current Technology and Future Trends</t>
  </si>
  <si>
    <t>U. Steinberg; B. Kauer</t>
  </si>
  <si>
    <t>A. Tavares; A. Carvalho; P. Rodrigues; P. Garcia; T. Gomes; J. Cabral; P. Cardoso; S. Montenegro; M. Ekpanyapong</t>
  </si>
  <si>
    <t>A Customizable and ARINC 653 Quasi-compliant Hypervisor</t>
  </si>
  <si>
    <t>S. Pinto; N. Santos</t>
  </si>
  <si>
    <t>Demystifying ARM TrustZone: A Comprehensive Survey</t>
  </si>
  <si>
    <t>M. Cinque; D. Cotroneo; L. De Simone</t>
  </si>
  <si>
    <t>Virtualizing Mixed-Criticality Systems: A Survey on Industrial Trends and Issues</t>
  </si>
  <si>
    <t>D. F. Blanco; F. Le Mouël; T. Lin; M. P. Escudié</t>
  </si>
  <si>
    <t>A Comprehensive Survey on Software as a Service (SaaS) Transformation for the Automotive Systems</t>
  </si>
  <si>
    <t>S. Pinto; H. Araújo; D. Oliveira; J. Martins</t>
  </si>
  <si>
    <t>S. Pinto; J. Pereira; T. Gomes; A. Tavares</t>
  </si>
  <si>
    <t>LtzVisor: TrustZone Is the Key</t>
  </si>
  <si>
    <t>F. Alder; J. Van Bulck; F. Piessens</t>
  </si>
  <si>
    <t>Aion: Enabling Open Systems Through Strong Availability Guarantees for Enclaves</t>
  </si>
  <si>
    <t>A. Ramesh; T. Huang; B. L. Titzer; A. Rowe</t>
  </si>
  <si>
    <t>Empowering WebAssembly with Thin Kernel Interfaces</t>
  </si>
  <si>
    <t>J. Martins; J. Alves; J. Cabral; A. Tavares; S. Pinto</t>
  </si>
  <si>
    <t>µRTZVisor: A Secure and Safe Real-Time Hypervisor</t>
  </si>
  <si>
    <t>J. Lex; M. Ulrich; R. Mader; D. Fey</t>
  </si>
  <si>
    <t>HyFAR: A Hypervisor-Based Fault Tolerance Approach for Heterogeneous Automotive Real-Time Systems</t>
  </si>
  <si>
    <t>Fault tolerance is a key aspect for fully autonomous vehicles, as there is no human driver available to take control of the vehicle as a backup. Such autonomous vehicles incorporate signal-oriented and service-oriented hardware and software architectures within one heterogeneous real-time system. Fault tolerance is commonly achieved by adding redundant Electronic Control Units (ECUs) to the system. However, redundant ECUs increase the weight, cost and power consumption of the system. This paper presents a novel hypervisor-based fault tolerance approach for automotive real-time systems (HyFAR), which is based on the largely unexplored concept of migrating software in a highly heterogeneous real-time system using virtualization technology. It is shown, that the fault tolerance of an automotive vehicle can be enhanced in a cost-effective way without the need of additional hardware. The process of recovering critical service-oriented software using a signal-oriented hardware and vice versa is examined. This paper gives a detailed overview of the effects of emulation, virtualization, separation and the type of the hypervisor towards the recovery time and the freedom from interference of signal-oriented and service-oriented software. The results demonstrate that recovering critical service-oriented software using signal-oriented hardware is limited due to missing middle-ware and virtualization support and resource scarcity. However, recovering critical signal-oriented software using a service-oriented hardware is feasible, while a subset of the original service-oriented software can be continued on the same hardware. The resulting approach can be applied to a range of applications including thermal management or lane departure warning.</t>
  </si>
  <si>
    <t>P. Lucas; K. Chappuis; M. Paolino</t>
  </si>
  <si>
    <t>Vosysmonitor, a Low-Latency Monitor Layer for Mixed-Criticality Systems on ARMv8-A</t>
  </si>
  <si>
    <t>S. Pinto; A. Oliveira; J. Pereira; J. Cabral</t>
  </si>
  <si>
    <t>Lightweight Multicore Virtualization Architecture Exploiting ARM TrustZone</t>
  </si>
  <si>
    <t>P. Dong; Z. Jiang; A. Burns; Y. Ding; J. Ma</t>
  </si>
  <si>
    <t>Build Real-Time Communication for Hybrid Dual-OS System</t>
  </si>
  <si>
    <t>Stop Hiding the Sharp Knives: The WebAssembly Linux Interface</t>
  </si>
  <si>
    <t>S. C. Mhatre; P. Chandran</t>
  </si>
  <si>
    <t>On the Measurement of Performance Metrics for Virtualization-Enhanced Architectures</t>
  </si>
  <si>
    <t>Cloud computing facilitates resource sharing among multiple users. Although sharing leads to the effective utilization of resources, it raises many security concerns. Hence, virtualization-enabled processors, which are used in cloud computing, are enhanced to provide security. This has put a pressing demand for the measurement of performance metrics for virtualization-enhanced architectures. However, this is a challenging task. Most of the existing simulators do not simulate security-related enhancements in virtualzation-enhanced architectures. Also, software-based simulators are slow. This paper proposes an approach for hardware-based simulation of security-related enhancements in virtualization-enhanced architectures. This is illustrated through the simulation of rollback-sensitive memory architecture like Extended-HyperWall. The results demonstrate that Extended-HyperWall introduces only one extra memory access per memory read/write by the hypervisor or direct memory access controller. Also, it incurs only three additional memory accesses per page during checkpointing and rollback. The paper concludes that virtualization-enabled processors can be efficiently simulated in hardware.</t>
  </si>
  <si>
    <t>J. Röckl; C. Lindenmeier; M. Schulze</t>
  </si>
  <si>
    <t>Conditional Network Availability: Enhancing Connectivity Guarantees for TEE-Based Services</t>
  </si>
  <si>
    <t>C. Dall</t>
  </si>
  <si>
    <t>The Design, Implementation, and Evaluation of Software and Architectural Support for ARM Virtualization</t>
  </si>
  <si>
    <t>D. F. Blanco; F. Le Mouël; T. Lin</t>
  </si>
  <si>
    <t>Can Software Containerisation Fit the Car On-Board Systems?</t>
  </si>
  <si>
    <t>As the automotive industry evolves towards interconnected and intelligent vehicles, the integration of complex
electronic and software components has become paramount.
However, this increased complexity brings new challenges in
ensuring system safety, security, and life-cycle management.
In this article, we focus on virtualisation (virt.), particularly
containerisation (cont.), as a solution to mitigate integration stress
in multi-node environments. We present a detailed review of the
automotive constraints and ecosystem, along with the selection
criteria for virt. technologies, justifying the scope of our study.
Our main contribution is a two-phased evaluation of cont. tools.
Firstly, we assess popular single-node container engines (Docker,
Containerd, and Linux Containers LXC) based on CPU, RAM,
and file I/O overhead over multiple hardware configurations.
Secondly, we evaluate their multi-node scalability. The results
show that Docker performs in average better than the other
solutions for automotive on-board architectures</t>
  </si>
  <si>
    <t>S. Singh; J. V. Ravindra; B. R. Naik</t>
  </si>
  <si>
    <t>Proffering Secure Energy-Aware Network-on-Chip Using Incremental Cryptogine</t>
  </si>
  <si>
    <t>Network-on-chip (NoC) is an integrated circuit network-based communications subsystem that usually operates between System on chip (SoC) systems. Security risks, including hidden data gathering from IP cores, contributing to unnecessary efficiency and energy degradation, are however revealed. So, to deal with this scenario, a Proffering Secure Energy-Aware Network-on-Chip (NoC) using Incremental Cryptogine is designed as the proposed work for the secure transmission of encrypted data and reducing the power and space consumption to enhance the performance. Unique NoC characteristics are implemented on the network interface for effectual lightweight encryption by Incremental Cryptogine to transmit encrypted data in a secured path. Aberrant Congestion Pattern Detection is used to identify the unusual traffic produced on the data transmission path. Spiking neural networks classifies the traffic and at the destination node, the encrypted data are decrypted into the original packet for secure data transmission. Cognizest Bipartite Bufferdevelops a unified buffer with the input ports on NoC and reduces an underutilized buffer space by emphasizing on the switch travers alsso as to attain the competent performance for reducing both power and space consumption. Thus, better accuracy and performance in attack detection is achieved by using an incremental cryptogine to secure the data in Network-on-chip (NoC) thereby reducing both power and space consumption.</t>
  </si>
  <si>
    <t>P. Chandran</t>
  </si>
  <si>
    <t>Secure and Dynamic Memory Management Architecture for Virtualization Technologies in IoT Devices</t>
  </si>
  <si>
    <t>J. Larrea; A. Barbalace</t>
  </si>
  <si>
    <t>The Serverkernel Operating System</t>
  </si>
  <si>
    <t>With the idea of exploiting all the computational resources that an IoT environment with multiple interconnected devices offers, serverkernel is presented as a new operating system architecture that blends ideas from distributed operating systems, Unikernel, and LWK. These concepts are mixed with a server in which a user can remotely offload computations and get the result. This single space-address operating system (OS) can be interpreted as a bare-metal OS in which only drivers for CPU, network, and accelerators are required in order to provide service.
To demonstrate the advantages of serverkernel, jonOS, an open-source C implementation of this architecture for Raspberry Pi, is provided. Compared with commercial architectures used in IoT devices, serverkernel achieves an improvement ratio of 1.5 in CPU time, 2.5 in real-time, and around 9 times better in network speed.</t>
  </si>
  <si>
    <t>On Making Xen Detect Hypercalls and Memory Accesses for Simulating Virtualization-Enabled Processors</t>
  </si>
  <si>
    <t>A. K. Iannillo; S. Rivera; D. Suciu; R. Sion</t>
  </si>
  <si>
    <t>An REE-Independent Approach to Identify Callers of TEEs in TrustZone-Enabled Cortex-M Devices</t>
  </si>
  <si>
    <t>ILTZVisor: A Lightweight TrustZone-Assisted Hypervisor for Low-End ARM Devices</t>
  </si>
  <si>
    <t>J. C. Martins</t>
  </si>
  <si>
    <t>Ontology-Driven Metamodeling Towards Hypervisor Design Automation: Microkernel Infrastructure</t>
  </si>
  <si>
    <t>D. F. Blanco</t>
  </si>
  <si>
    <t>Seamless Continuous Integration/Continuous Delivery (CI/CD) for Software Defined Vehicles</t>
  </si>
  <si>
    <t>J. Lopes; J. Martins; A. Tavares</t>
  </si>
  <si>
    <t>DIHyper: Providing Lifetime Hypervisor Data Integrity</t>
  </si>
  <si>
    <t xml:space="preserve">no virt </t>
  </si>
  <si>
    <t>E. Michelin</t>
  </si>
  <si>
    <t>On the Enforcement of Attestable Availability Guarantees for ARM-Based Industrial Multi-Tenant Real-Time Systems</t>
  </si>
  <si>
    <t>D. Cheng; C. Zhang</t>
  </si>
  <si>
    <t>An Attack-Immune Trusted Architecture for Supervisory Aircraft Hardware</t>
  </si>
  <si>
    <t>A. Tellabi; C. Ruland; K. Waedt; A. Sabri</t>
  </si>
  <si>
    <t>Self Diagnostics and Isolation Mechanisms for Mixed-Criticality Systems</t>
  </si>
  <si>
    <t>J. Ménétrey</t>
  </si>
  <si>
    <t>WebAssembly as an Abstraction for Secure and Efficient Computing in Trusted Execution Environments</t>
  </si>
  <si>
    <t>F. Xi; L. Dejian; W. Hui; T. Xiaoke</t>
  </si>
  <si>
    <t>TrustZone-Based Virtual Architecture of Power Intelligent Terminal</t>
  </si>
  <si>
    <t>R. Habeeb; H. Chen; M. K. Yoon; Z. Shao</t>
  </si>
  <si>
    <t>It’s a Non-Stop PARTee! Practical Multi-Enclave Availability Through Partitioning and Asynchrony</t>
  </si>
  <si>
    <t>P. Sousa</t>
  </si>
  <si>
    <t>HACC-V: Hardware-Assisted Cryptographic Coprocessor for RISC-V</t>
  </si>
  <si>
    <t>A. M. M. dos Santos</t>
  </si>
  <si>
    <t>Towards Multi-OS Support on TrustZone-M MCUs</t>
  </si>
  <si>
    <t>A. N. A. C. Ribeiro</t>
  </si>
  <si>
    <t>VirtIO Infrastructure for a Static Partition Hypervisor</t>
  </si>
  <si>
    <t>M. T. Khan; D. Serpanos; H. Shrobe</t>
  </si>
  <si>
    <t>A Formally Reliable Cognitive Middleware for the Security of Industrial Control Systems</t>
  </si>
  <si>
    <t>A. Nagvekar</t>
  </si>
  <si>
    <t>Implementing Software Isolation in Resource-Constrained Embedded Systems</t>
  </si>
  <si>
    <t>J. C. Bauduin; L. Roman</t>
  </si>
  <si>
    <t>Improving Security in Embedded Systems</t>
  </si>
  <si>
    <t>V. H. da Silva Ribeiro</t>
  </si>
  <si>
    <t>D. Cheng; J. Liu; Z. Guan; J. Hu</t>
  </si>
  <si>
    <t>An Attack-Immune Trusted Architecture for Supervisory Intelligent Terminal</t>
  </si>
  <si>
    <t>P. G. O. Leite</t>
  </si>
  <si>
    <t>Contention and Predictability Study on ARM Cortex-M TrustZone-Enabled MCUs</t>
  </si>
  <si>
    <t>M. Amiri-Kordestani; D. Eyers; Z. Huang</t>
  </si>
  <si>
    <t>TrustZone for Supervised Asymmetric Multiprocessing Systems</t>
  </si>
  <si>
    <t>R. V. Moreira</t>
  </si>
  <si>
    <t>Reconfigurable Hardware for the New Generation IoT Video-Cards</t>
  </si>
  <si>
    <t>J. P. A. G. S. Reis</t>
  </si>
  <si>
    <t>J. A. M. e Silva</t>
  </si>
  <si>
    <t>ARM TrustZone: Evaluating the Diversity of the Memory Subsystem</t>
  </si>
  <si>
    <t>C. A. A. Rodrigues</t>
  </si>
  <si>
    <t>Heterogeneous Fault Tolerance Architecture Based on ARM and RISC-V Processors</t>
  </si>
  <si>
    <t>J. C. F. Alves</t>
  </si>
  <si>
    <t>Ontology-Driven Metamodeling Towards Hypervisor Design Automation: Secure Inter-Partition Communication (IPC)</t>
  </si>
  <si>
    <t>R. J. R. Roriz</t>
  </si>
  <si>
    <t>Enabling System Survival Across Hypervisor Failures</t>
  </si>
  <si>
    <t>A. A. S. F. Lopes</t>
  </si>
  <si>
    <t>Porting LTZVisor to i.MX 6Quad SD</t>
  </si>
  <si>
    <t>P. M. S. Machado</t>
  </si>
  <si>
    <t>Self-Secured Devices: Securing Shared Device Access on TrustZone-Based Systems</t>
  </si>
  <si>
    <t>M. Gunes; C. Profentzas</t>
  </si>
  <si>
    <t>Verified Boot in Embedded Systems with Hard Boot Time Constraints</t>
  </si>
  <si>
    <t>G. Agreement</t>
  </si>
  <si>
    <t>Distributed Real-Time Architecture for Mixed-Criticality Systems</t>
  </si>
  <si>
    <t>A. A. Oliveira</t>
  </si>
  <si>
    <t>Multicore Embedded Virtualization Architecture Exploiting ARM TrustZone</t>
  </si>
  <si>
    <t>L. Roman; J. C. Bauduin; R. Sadre</t>
  </si>
  <si>
    <t>Improving Security in Embedded Systems: Secure Multitasking in the ESP Privilege Separation Framework</t>
  </si>
  <si>
    <t>D. Oliveira; T. Gomes; S. Pinto</t>
  </si>
  <si>
    <t>2022oliveiraUTangoOpenSourceTEE.pdf</t>
  </si>
  <si>
    <t>10.1109/ACCESS.2022.3152781</t>
  </si>
  <si>
    <t>S. L. Keoh; S. S. Kumar; H. Tschofenig</t>
  </si>
  <si>
    <t>Securing the Internet of Things: A Standardization Perspective</t>
  </si>
  <si>
    <t>O. Alrawi; C. Lever; M. Antonakakis; F. Monrose</t>
  </si>
  <si>
    <t>SoK: Security Evaluation of Home-Based IoT Deployments</t>
  </si>
  <si>
    <t>E. Cozzi; P.-A. Vervier; M. Dell’Amico; Y. Shen; L. Bilge; D. Balzarotti</t>
  </si>
  <si>
    <t>The Tangled Genealogy of IoT Malware</t>
  </si>
  <si>
    <t>A.-R. Sadeghi; C. Wachsmann; M. Waidner</t>
  </si>
  <si>
    <t>Security and Privacy Challenges in Industrial Internet of Things</t>
  </si>
  <si>
    <t>D. Oliveira; M. Costa; S. Pinto; T. Gomes</t>
  </si>
  <si>
    <t>The Future of Low-End Motes in the Internet of Things: A Prospective Paper</t>
  </si>
  <si>
    <t>L. Luo; Y. Zhang; C. C. Zou; X. Shao; Z. Ling; X. Fu</t>
  </si>
  <si>
    <t>On Runtime Software Security of TrustZone-M Based IoT Devices</t>
  </si>
  <si>
    <t>Internet of Things (IoT) devices have been increasingly integrated into our daily life. However, such smart devices suffer a broad attack surface. Particularly, attacks targeting the device software at runtime are challenging to defend against if IoT devices use resource-constrained microcontrollers (MCUs). TrustZone-M, a TrustZone extension for MCUs, is an emerging security technique fortifying MCU based IoT devices. This paper presents the first security analysis of potential software security issues in TrustZone-M enabled MCUs. We explore the stack-based buffer overflow (BOF) attack for code injection, return-oriented programming (ROP) attack, heap-based BOF attack, format string attack, and attacks against Non-secure Callable (NSC) functions in the context of TrustZone-M. We validate these attacks using the Microchip SAM L11 MCU, which uses the ARM Cortex-M23 processor with the TrustZone-M technology. Strategies to mitigate these software attacks are also discussed</t>
  </si>
  <si>
    <t>J. Noorman; J. Van Bulck; J. T. Mühlberg; et al.</t>
  </si>
  <si>
    <t>Sancus 2.0: A Low-Cost Security Architecture for IoT Devices</t>
  </si>
  <si>
    <t>The Sancus security architecture for networked embedded devices was proposed in 2013 at the USENIX Security conference. It supports remote (even third-party) software installation on devices while maintaining strong security guarantees. More specifically, Sancus can remotely attest to a software provider that a specific software module is running uncompromised and can provide a secure communication channel between software modules and software providers. Software modules can securely maintain local state and can securely interact with other software modules that they choose to trust.
Over the past three years, significant experience has been gained with applications of Sancus, and several extensions of the architecture have been investigated—both by the original designers as well as by independent researchers. Informed by these additional research results, this journal version of the Sancus paper describes an improved design and implementation, supporting additional security guarantees (such as confidential deployment) and a more efficient cryptographic core.
We describe the design of Sancus 2.0 (without relying on any prior knowledge of Sancus) and develop and evaluate a prototype FPGA implementation. The prototype extends an MSP430 processor with hardware support for the memory access control and cryptographic functionality required to run Sancus. We report on our experience using Sancus in a variety of application scenarios and discuss some important avenues of ongoing and future work.</t>
  </si>
  <si>
    <t>G. Klein; M. Norrish; T. Sewell; et al.</t>
  </si>
  <si>
    <t>P. Koeberl; S. Schulz; A.-R. Sadeghi; V. Varadharajan</t>
  </si>
  <si>
    <t>TrustLite: A Security Architecture for Tiny Embedded Devices</t>
  </si>
  <si>
    <t>F. Brasser; B. El Mahjoub; A.-R. Sadeghi; C. Wachsmann; P. Koeberl</t>
  </si>
  <si>
    <t>TyTAN: Tiny Trust Anchor for Tiny Devices</t>
  </si>
  <si>
    <t>Embedded systems are at the core of many security-sensitive and safety-critical applications, including automotive, industrial control systems, and critical infrastructures. Existing protection mechanisms against (software-based) malware are inflexible, too complex, expensive, or do not meet real-time requirements.
We present TyTAN, which, to the best of our knowledge, is the first security architecture for embedded systems that provides (1) hardware-assisted strong isolation of dynamically configurable tasks and (2) real-time guarantees. We implemented TyTAN on the Intel® Siskiyou Peak embedded platform and demonstrate its efficiency and effectiveness through extensive evaluation.</t>
  </si>
  <si>
    <t>H. Sun; K. Sun; Y. Wang; J. Jing; H. Wang</t>
  </si>
  <si>
    <t>TrustICE: Hardware-Assisted Isolated Computing Environments on Mobile Devices</t>
  </si>
  <si>
    <t>V. Costan; I. Lebedev; S. Devadas</t>
  </si>
  <si>
    <t>Sanctum: Minimal Hardware Extensions for Strong Software Isolation</t>
  </si>
  <si>
    <t>A. Ferraiuolo; A. Baumann; C. Hawblitzel; B. Parno</t>
  </si>
  <si>
    <t>Komodo: Using Verification to Disentangle Secure-Enclave Hardware from Software</t>
  </si>
  <si>
    <t>P. Maene; J. Götzfried; R. de Clercq; et al.</t>
  </si>
  <si>
    <t>Hardware-Based Trusted Computing Architectures for Isolation and Attestation</t>
  </si>
  <si>
    <t>H. Janjua; M. Ammar; B. Crispo; D. Hughes</t>
  </si>
  <si>
    <t>Towards a Standards-Compliant Pure-Software Trusted Execution Environment</t>
  </si>
  <si>
    <t>F. Brasser; D. Gens; P. Jauernig; et al.</t>
  </si>
  <si>
    <t>SANCTUARY: ARMing TrustZone with User-Space Enclaves</t>
  </si>
  <si>
    <t>W. Li; Y. Xia; L. Lu; H. Chen; B. Zang</t>
  </si>
  <si>
    <t>TEEv: Virtualizing Trusted Execution Environments on Mobile Platforms</t>
  </si>
  <si>
    <t>S.-I. Hahm; J. Kim; A. Jeong; et al.</t>
  </si>
  <si>
    <t>D. Lee; D. Kohlbrenner; S. Shinde; et al.</t>
  </si>
  <si>
    <t>R. Bahmani; F. Brasser; G. Dessouky; et al.</t>
  </si>
  <si>
    <t>CURE: A Security Architecture with Customizable and Resilient Enclaves</t>
  </si>
  <si>
    <t>Z. Hua; J. Gu; Y. Xia; et al.</t>
  </si>
  <si>
    <t>S. Pinto; C. Garlati</t>
  </si>
  <si>
    <t>Multi-Zone Security for ARM Cortex-M Devices</t>
  </si>
  <si>
    <t>T. Nyman; J. Ekberg; L. Davi; N. Asokan</t>
  </si>
  <si>
    <t>CFI CaRE: Hardware-Supported Call and Return Enforcement</t>
  </si>
  <si>
    <t>N. Asokan; T. Nyman; N. Rattanavipanon; et al.</t>
  </si>
  <si>
    <t>ASSURED: Architecture for Secure Software Update of Embedded Devices</t>
  </si>
  <si>
    <t>N. Zhang; H. Sun; K. Sun; et al.</t>
  </si>
  <si>
    <t>CacheKit: Evading Memory Introspection Using Cache Incoherence</t>
  </si>
  <si>
    <t>A. Tang; S. Sethumadhavan; S. Stolfo</t>
  </si>
  <si>
    <t>CLKSCREW: Exposing the Perils of Security-Oblivious Energy Management</t>
  </si>
  <si>
    <t>K. Ryan</t>
  </si>
  <si>
    <t>Hardware-Backed Heist: Extracting ECDSA Keys from Qualcomm’s TrustZone</t>
  </si>
  <si>
    <t>D. Cerdeira; N. Santos; P. Fonseca; S. Pinto</t>
  </si>
  <si>
    <t>SoK: Understanding Security Vulnerabilities in TrustZone-Assisted TEEs</t>
  </si>
  <si>
    <t>Arm Trusted Firmware</t>
  </si>
  <si>
    <t>Trustonic</t>
  </si>
  <si>
    <t>Trustonic Kinibi-M</t>
  </si>
  <si>
    <t>Arm Ltd.</t>
  </si>
  <si>
    <t>Arm TrustZone Technology for the ARMv8-M Architecture</t>
  </si>
  <si>
    <t>Arm Platform Security Architecture Overview</t>
  </si>
  <si>
    <t>Keil</t>
  </si>
  <si>
    <t>Using TrustZone on ARMv8-M</t>
  </si>
  <si>
    <t>Y. Cho; J. Shin; D. Kwon; et al.</t>
  </si>
  <si>
    <t>Hardware-Assisted On-Demand Hypervisor
Activation for Efficient Security Critical Code
Execution on Mobile Devices</t>
  </si>
  <si>
    <t>As more and more mobile applications need to run security critical codes (SCCs) for secure transactions and
critical information handling, the demand for a Trusted
Execution Environment (TEE) to ensure safe execution
of SCCs is rapidly escalating. Although a number of
studies have implemented TEEs using TrustZone or hypervisors and have evinced the effectiveness in terms
of security, they face major challenges when considering deployment in mobile devices. TrustZone-based approaches bloat the TCB of the system as they must increase the code base size of the most privileged software. Hypervisor-based approaches incur performance
overhead on mobile devices that are already suffering
from resource restrictions.
To alleviate these problems, in this paper, we propose
a hybrid approach that utilizes both TrustZone and a hypervisor. Our approach basically implements a TEE using a hypervisor, while mitigating performance overhead
by activating the hypervisor only when the TEE is demanded by SCCs. This scheme, called on-demand hypervisor activation, has been efficiently and securely implemented by leveraging the memory protection capability of TrustZone. We have implemented and experimented our system with real world applications. The results show that our system can successfully protect SCCs
without any noticeable delay (&lt; 100 µs), while limiting
the overhead increase due to our hypervisor during its
hibernation near 0 %.</t>
  </si>
  <si>
    <t>J. Jang; C. Choi; J. Lee; et al.</t>
  </si>
  <si>
    <t>PrivateZone: Providing a Private Execution Environment Using ARM TrustZone</t>
  </si>
  <si>
    <t>ARM TrustZone is widely used to provide a Trusted Execution Environment (TEE) for mobile devices. However, the use of TrustZone is limited because TrustZone resources are only available for some pre-authorized applications. In other words, only alliances of the TrustZone OS vendors and device manufacturers can use TrustZone to secure their services. To help overcome this problem, we designed the PrivateZone framework to enable individual developers to utilize TrustZone resources. Using PrivateZone, developers can run Security Critical Logics (SCL) in a Private Execution Environment (PrEE). The advantage of PrivateZone is its leveraging of TrustZone resources without undermining the security of existing services in the TEE. To guarantee this, PrivateZone creates a PrEE using a memory region that is isolated from both the Rich Execution Environment (REE) and TEE. In this paper, we describe the design and implementation of PrivateZone. The prototype of PrivateZone was implemented on an Arndale board with a Cortex-A15 dual-core processor. We built PrivateZone by exploring both security and virtualization extensions of the ARM architecture. To illustrate the usage and the efficacy of PrivateZone, we developed an Android application based on PrivateZone framework, and evaluated the performance overhead imposed on the OS in the REE and SCLs in the PrEE.</t>
  </si>
  <si>
    <t>C. Garlati; S. Pinto</t>
  </si>
  <si>
    <t>A Clean-Slate Approach to Linux Security RISC-V Enclaves</t>
  </si>
  <si>
    <t>S. Pinto; J. Pereira; T. Gomes; et al.</t>
  </si>
  <si>
    <t>LTZVisor: TrustZone Is the Key</t>
  </si>
  <si>
    <t>ARMv8-M Architecture: Stack Sealing</t>
  </si>
  <si>
    <t>Arm Platform Security Architecture (PSA)</t>
  </si>
  <si>
    <t>ATF-M Security Vulnerabilities</t>
  </si>
  <si>
    <t>J. Saltzer; M. Schroeder</t>
  </si>
  <si>
    <t>The Protection of Information in Computer Systems</t>
  </si>
  <si>
    <t>Arm Firmware Framework for M Extensions</t>
  </si>
  <si>
    <t>N. S. Almakhdhub; A. A. Clements; et al.</t>
  </si>
  <si>
    <t>BenchIoT: A Security Benchmark for the Internet of Things</t>
  </si>
  <si>
    <t>D. Patterson; J. Bennett; et al.</t>
  </si>
  <si>
    <t>Embench: A Modern Embedded Benchmark Suite</t>
  </si>
  <si>
    <t>B. Sa; J. Martins; S. Pinto</t>
  </si>
  <si>
    <t>A First Look at RISC-V Virtualization from an Embedded Systems Perspective</t>
  </si>
  <si>
    <t>J. Jang; S. Kong; M. Kim; et al.</t>
  </si>
  <si>
    <t>SeCReT: Secure Channel Between REE and TEE</t>
  </si>
  <si>
    <t xml:space="preserve">ARM TrustZone, which provides a Trusted Execution Environment (TEE), normally plays a role in keeping security-sensitive resources safe. However, to properly control access to the resources, it is not enough to just isolate them from the Rich Execution Environment (REE). In addition to the isolation, secure communication should be guaranteed between security-critical resources in the TEE and legitimate REE processes that are permitted to use them. Even though there is a TEE security solution – namely, a kernel-integrity monitor – it aims to protect the REE kernel’s static regions, not to secure communication between the REE and TEE. We propose SeCReT to ameliorate this problem. SeCReT is a framework that builds a secure channel between the REE and TEE by enabling REE processes to use session keys in the REE that is regarded as unsafe region. SeCReT provides the session key to a requestor process only when the requestor’s code and control flow integrity are verified. To prevent the key from being exposed to an attacker who already compromised the REE kernel, SeCReT flushes the key from the memory every time the processor switches into kernel mode. In this paper, we present the design and implementation of SeCReT to show how it protects the key in the REE. Our prototype is implemented on Arndale board, which offers a Cortex-A15 dual-core processor with TrustZone as its security extension. We performed a security analysis by using a kernel rootkit and also ran LMBench microbenchmark to evaluate the performance overhead imposed by SeCReT.
</t>
  </si>
  <si>
    <t>S. Weiser; M. Werner; F. Brasser; et al.</t>
  </si>
  <si>
    <t>TIMBER-V: Tag-Isolated Memory Bringing
Fine-grained Enclaves to RISC-V</t>
  </si>
  <si>
    <t>Security solution not born to be used in a virtualized environment. Morevover it uses supervisor mode (RISC-V), which needs an MMU (altough it is not used). It can be considered a work toward virtualization maybe</t>
  </si>
  <si>
    <t>Prove&amp;Run</t>
  </si>
  <si>
    <t>ProvenCore-M</t>
  </si>
  <si>
    <t>J. Noorman; P. Agten; W. Daniels; et al.</t>
  </si>
  <si>
    <t>Sancus: Low-Cost Trustworthy Embedded Devices</t>
  </si>
  <si>
    <t>A. Azab; K. Swidowski; R. Bhutkar; et al.</t>
  </si>
  <si>
    <t>SKEE: A Lightweight Secure Kernel-Level Execution Environment</t>
  </si>
  <si>
    <t>D. Kwon; J. Seo; Y. Cho; et al.</t>
  </si>
  <si>
    <t>PrOS: Lightweight Privatized Secure OSes in ARM TrustZone</t>
  </si>
  <si>
    <t>TrustZone is a hardware security technique in ARM mobile devices. Using TrustZone, software components running within the
secure world can be completely isolated from the normal world, which ensures hardware-enforced security access control over the
underlying computing resources. In order to support multiple trusted applications, TrustZone runs its own operating system, called the
secure OS, within the secure world. Unfortunately, attackers have been exploiting privilege escalation vulnerabilities in a secure OS, as
reported in most of major secure OSes from product vendors including Samsung, Huawei, and Qualcomm. More critically, as all trusted
applications are running on the same secure OS instance, compromising the secure OS leads to compromising all trusted applications,
rendering the secure OS as a single point of failure endangering the entire TrustZone’s security.
This paper presents PrOS, our mechanism to privatize secure OSes through direct virtualization of TrustZone. PrOS allows each trusted
application to run with its own secure OS such that the secure OS is no longer a single point of security failure. One particular challenge
for PrOS lies in how efficiently to implement software-only virtualization for TrustZone for a practical deployment in real systems despite
the condition that the current ARM architectures do not support hardware-assisted virtualization for TrustZone. As opposed to the
common belief that software-only virtualization is inefficient and sluggish, we have found several common design features inherent in the
secure OS to leverage for optimally tailoring the TrustZone virtualization scheme. We implemented PrOS on a 64-bit ARM development
board. According to our evaluation, PrOS incurs 0.02% and 1.18% performance overheads on average in the normal and secure worlds,
respectively, demonstrating its effectiveness in the field.</t>
  </si>
  <si>
    <t>P. Nasahl; R. Schilling; M. Werner; S. Mangard</t>
  </si>
  <si>
    <t>HECTOR-V: A Heterogeneous CPU Architecture for Secure RISC-V</t>
  </si>
  <si>
    <t>T. Drozdovskyi; O. Moliavko</t>
  </si>
  <si>
    <t>MTower: Trusted Execution Environment for MCU-Based Devices</t>
  </si>
  <si>
    <t>S. Labs</t>
  </si>
  <si>
    <t>CoreLockr-TZ</t>
  </si>
  <si>
    <t>N. Cooprider; W. Archer; E. Eide; et al.</t>
  </si>
  <si>
    <t>Efficient Memory Safety for TinyOS</t>
  </si>
  <si>
    <t>A. Levy; B. Campbell; B. Ghena; et al.</t>
  </si>
  <si>
    <t>Multiprogramming a 64kB Computer Safely and Efficiently</t>
  </si>
  <si>
    <t>A. A. Clements; N. S. Almakhdhub; et al.</t>
  </si>
  <si>
    <t>Protecting Bare-Metal Embedded Systems with Privilege Overlays</t>
  </si>
  <si>
    <t>D. Kwon; J. Shin; G. Kim; et al.</t>
  </si>
  <si>
    <t>UXOM: Efficient Execute-Only Memory on ARM Cortex-M</t>
  </si>
  <si>
    <t>G. Peach; R. Pan; Z. Wu; et al.</t>
  </si>
  <si>
    <t>EWASM: Practical Software Fault Isolation</t>
  </si>
  <si>
    <t>O. Hahm; E. Baccelli; H. Petersen; N. Tsiftes</t>
  </si>
  <si>
    <t>Operating Systems for Low-End IoT Devices: A Survey</t>
  </si>
  <si>
    <t>M. Silva; D. Cerdeira; S. Pinto; T. Gomes</t>
  </si>
  <si>
    <t>Operating Systems for IoT Low-End Devices: Analysis and Benchmarking</t>
  </si>
  <si>
    <t>F. Bruns; D. Kuschnerus; A. Bilgic</t>
  </si>
  <si>
    <t>Virtualization for Safety-Critical Deeply-Embedded Devices</t>
  </si>
  <si>
    <t>F. Paci; D. Brunelli; L. Benini</t>
  </si>
  <si>
    <t>Lightweight IO Virtualization on MPU-Enabled Microcontrollers</t>
  </si>
  <si>
    <t>Mbed OS</t>
  </si>
  <si>
    <t>Amazon</t>
  </si>
  <si>
    <t>Linux Foundation</t>
  </si>
  <si>
    <t>Zephyr</t>
  </si>
  <si>
    <t>L. Witt; M. Heyer; K. Toyoda; W. Samek</t>
  </si>
  <si>
    <t>Decentral and Incentivized Federated Learning Frameworks: A Systematic Literature Review</t>
  </si>
  <si>
    <t>F. J. Jaime; A. Muñoz; F. Rodríguez-Gómez</t>
  </si>
  <si>
    <t>Strengthening Privacy and Data Security in Biomedical MEMS by IoT Communication Security in Smart Healthcare</t>
  </si>
  <si>
    <t>C. Rodrigues; D. Oliveira; S. Pinto</t>
  </si>
  <si>
    <t>Busted!!! Microarchitectural Side-Channel Attacks on the MCU Bus Interconnect</t>
  </si>
  <si>
    <t>X. Tan; Z. Ma; S. Pinto; L. Guan; N. Zhang; J. Xu</t>
  </si>
  <si>
    <t>{SoK}: Where’s the “µP”?! A Comprehensive (Bottom-Up) Study on the Security of ARM Cortex-M Systems</t>
  </si>
  <si>
    <t>L. Cunha; J. Sousa; J. Azevedo; S. Pinto; T. Gomes</t>
  </si>
  <si>
    <t>M. Costa; T. Gomes; J. Cabral; J. Monteiro</t>
  </si>
  <si>
    <t>SecureQNN: Introducing a Privacy-Preserving Framework for QNNs at the Deep Edge</t>
  </si>
  <si>
    <t>S. Pereira; J. Sousa; S. Pinto; J. Martins</t>
  </si>
  <si>
    <t>Bao-Enclave: Virtualization-Based Enclaves for ARM</t>
  </si>
  <si>
    <t>M. Costa; T. Gomes; S. Pinto</t>
  </si>
  <si>
    <t>SecureQNN: Shielding the Intellectual Property of QNNs in TinyML Systems</t>
  </si>
  <si>
    <t>S. Wen; L. Xu; L. Tian; S. Liu; Y. Ding</t>
  </si>
  <si>
    <t>TEE-DFuzzer: Fuzzing Trusted Execution Environment</t>
  </si>
  <si>
    <t>J. Sousa; J. Martins; T. Gomes; S. Pinto</t>
  </si>
  <si>
    <t>HSP-V: Hypervisor-Less Static Partitioning for RISC-V COTS Platforms</t>
  </si>
  <si>
    <t>S. Casciero; L. Mainetti; R. Vergallo</t>
  </si>
  <si>
    <t>A Systematic Review on One-Time Programs</t>
  </si>
  <si>
    <t>E. R. Andrade; C. G. Coes; J. B. D. R. Neto</t>
  </si>
  <si>
    <t>Experimental Evaluation and Expansion Suggestion of Digital Signatures Available on OP-TEE</t>
  </si>
  <si>
    <t>S. Pinto; B. Mataz</t>
  </si>
  <si>
    <t>A Novel Trusted Execution Environment for Next-Generation RISC-V MCUs</t>
  </si>
  <si>
    <t>E. Palmarini; L. Veronese; M. Busi</t>
  </si>
  <si>
    <t>A Recipe for Cost-Effective Secure IoT: The Safe Place Project Case Study</t>
  </si>
  <si>
    <t>IoT systems are complex and heterogeneous, and consequently difficult to control and secure. This problem is compounded by the fact that the devices are often inexpensive with little computing power. In this paper, we present our experience within the SAFE PLACE project which aimed to create an IoT system for healthier living environments, motivated by the SARS-Cov-2 emergency. The implemented IoT system can monitor people’s movements, check the healthiness of the air, sanitize spaces and objects, and provide support to isolated people. Our recipe for a cost-effective secure IoT system trades-off security, usability, and cost, and is easily repeatable and implementable for other similar IoT systems.</t>
  </si>
  <si>
    <t>S. Pinto; L. Cunha; D. Oliveira; M. Grisafi</t>
  </si>
  <si>
    <t>Bridging the Interoperability Gaps Among Trusted Architectures in MCUs</t>
  </si>
  <si>
    <t>S. Mercogliano; D. Ottaviano; A. Ciardo</t>
  </si>
  <si>
    <t>H. Son; B. S. Kim; J. Cho; B. Lee</t>
  </si>
  <si>
    <t>ASM: Augmented Security Module for Commercial IoT Devices</t>
  </si>
  <si>
    <t>The rapid expansion of the Internet of Things (IoT) has led to increased concerns regarding the security of IoT systems. Attacks targeting IoT devices, such as code injection and code reuse, have become more sophisticated, compromising device control and functionality. Existing security schemes, designed primarily for the ×86 architecture, are not well-suited for resource-constrained IoT devices. While numerous studies aim to strengthen IoT device security, practical implementation faces challenges due to time-to-market requirements and manufacturing costs. To address these issues, this paper proposes an Augmented Security Module (ASM) that provides essential security services for IoT devices within the same network, requiring minimal device modifications. The ASM includes Hardware Security Modules (HSMs) like Trusted Platform Module (TPM) and Secure Element (SE) to ensure data integrity and execute requested security services. By adding ASM Agents, which perform minimal operations to request security services, IoT devices can easily access the provided security services. The proposed ASM enables flexible adaptation to evolving security requirements at a low cost, meeting practical manufacturing and time-to-market demands. To validate the effectiveness of the proposed ASM, four representative scenarios are presented and analyzed, demonstrating its ability to enhance IoT device security and prevent attacks. The proposed ASM contributes to the widespread adoption of secure IoT systems by ensuring the security of IoT devices within the network.</t>
  </si>
  <si>
    <t>Y. Ma</t>
  </si>
  <si>
    <t>Quantum Hardware Security and Near-Term Applications</t>
  </si>
  <si>
    <t>L. Boeckmann</t>
  </si>
  <si>
    <t>Integration and Evaluation of a Secure Firmware for ARM Cortex-M Devices in RIOT OS</t>
  </si>
  <si>
    <t>H. Son; B. S. Kim</t>
  </si>
  <si>
    <t>Check for SecureQNN: Introducing a Privacy-Preserving Framework for QNNs at the Deep Edge</t>
  </si>
  <si>
    <t>Recent concerns about real-time inference and data privacy
are making Machine Learning (ML) shift to the edge. However, training
efficient ML models require large-scale datasets not available for typical
ML clients. Consequently, the training is usually delegated to specific
Service Providers (SP), which are now worried to deploy proprietary
ML models on untrusted edge devices. A natural solution to increase
the privacy and integrity of ML models comes from Trusted Execution
Environments (TEEs), which provide hardware-based security. However,
their integration with heavy ML computation remains a challenge. This
perspective paper explores the feasibility of leveraging a state-of-the-art
TEE technology widely available in modern MCUs (TrustZone-M) to
protect the privacy of Quantized Neural Networks (QNNs). We propose
a novel framework that traverses the model layer-by-layer and evaluates
the number of epochs an attacker requires to build a model with the same
accuracy as the target with the information disclosed. The set of layers
whose information makes the attacker spend less training effort than the
owner training from scratch is protected in an isolated environment, i.e.,
the secure-world. Our framework will be evaluated in terms of latency
and memory footprint for two ANNs built for the CIFAR-10 and Visual
Wake Words (VWW) datasets. In this perspective paper, we establish a
baseline reference for the results.</t>
  </si>
  <si>
    <t>U. Minho; TUD; UWU</t>
  </si>
  <si>
    <t>D3.1 CROSSCON Open Security Stack Documentation – Draft</t>
  </si>
  <si>
    <t>S. Sugawara</t>
  </si>
  <si>
    <t>RISC-V Processor Security Mechanisms and System Architecture – TEE, Hardware Root of Trust, Remote Attestation</t>
  </si>
  <si>
    <t>L. Pfau</t>
  </si>
  <si>
    <t>Trusted Execution Environments für Mikrocontroller im IoT</t>
  </si>
  <si>
    <t>Sundar Rajan A.K.; Nirmala Devi M.</t>
  </si>
  <si>
    <t>Virtualizing an Automotive State-of-the-Art Microcontroller: Techniques and Its Evaluation</t>
  </si>
  <si>
    <t>2021sundarrajanVirtualizingAutomotiveStateoftheArt.pdf</t>
  </si>
  <si>
    <t>10.1007/978-3-030-59897-6_2</t>
  </si>
  <si>
    <t>BMW</t>
  </si>
  <si>
    <t>BMW Car Models</t>
  </si>
  <si>
    <t>D. Reinhardt; M. Kucera</t>
  </si>
  <si>
    <t>Domain Controlled Architecture</t>
  </si>
  <si>
    <t>G. Weiss; P. Schleiss; C. Drabek</t>
  </si>
  <si>
    <t>Towards Flexible and Dependable E/E-Architectures for Future Vehicles</t>
  </si>
  <si>
    <t xml:space="preserve">Future vehicles are expected to evolve towards
enabling fully electric and autonomous driving. However,
technically this evolution requires fundamental changes of
traditional automotive engineering principles. Specifically,
challenges arise for the Electric/Electronic (E/E) vehicle
architectures as underlying basis for almost all car
functionalities. Higher demands on vehicle system’s flexibility
and dependability have to be incorporated. We present a novel
approach for such future E/E-architectures which considers these
requirements as first principles by exploiting runtime adaptation
capabilities. Based on use cases, a generic hardware and software
architecture is presented which enables technology-independent
realization of the provided concepts. Additionally, the
incorporated generic failure management and design support are
introduced. The approach has been evaluated in different
prototype demonstrators, including an e-vehicle prototype
compromising enhanced driving functionality. Thereby, the
advantages of the concepts for future vehicle E/E-architectural
development could be highlighted. </t>
  </si>
  <si>
    <t>A. Crespo; M. Masmano; J. Coronel; S. Peiró; P. Balbastre; J. Simo</t>
  </si>
  <si>
    <t>Multicore Partitioned Systems Based on Hypervisor</t>
  </si>
  <si>
    <t>Electronics For You</t>
  </si>
  <si>
    <t>Difference Between Microprocessor and Microcontroller</t>
  </si>
  <si>
    <t>Y. Gheraibia; S. Kabir; K. Djafri; H. Krimou</t>
  </si>
  <si>
    <t>An Overview of the Approaches for Automotive Safety Integrity Levels Allocation</t>
  </si>
  <si>
    <t>Infineon AG</t>
  </si>
  <si>
    <t>AURIX™ Family – TC29xT</t>
  </si>
  <si>
    <t>D. Reinhardt; G. Morgan</t>
  </si>
  <si>
    <t>A. K. S. Rajan; A. Feucht; L. Gamer; I. Smaili</t>
  </si>
  <si>
    <t>Hypervisor for Consolidating Real-Time Automotive Control Units</t>
  </si>
  <si>
    <t>A. Patel; M. Daftedar; M. Shalan; M. W. El-Kharashi</t>
  </si>
  <si>
    <t>Embedded Hypervisor Xvisor: A Comparative Analysis</t>
  </si>
  <si>
    <t>M. Mounika; C. Chinnaswamy</t>
  </si>
  <si>
    <t>A Comprehensive Review on Embedded Hypervisors</t>
  </si>
  <si>
    <t>M. Strobl; M. Kucera; A. Foeldi; T. Waas; N. Balbierer; C. Hilbert</t>
  </si>
  <si>
    <t>Towards Automotive Virtualization</t>
  </si>
  <si>
    <t>H. Sutter</t>
  </si>
  <si>
    <t>The Free Lunch Is Over: A Fundamental Turn Toward Concurrency in Software</t>
  </si>
  <si>
    <t>J. Savithry; A. G. Ortega; A. S. Pillai; P. Balbastre; A. Crespo</t>
  </si>
  <si>
    <t>Design of Criticality-Aware Scheduling for Advanced Driver Assistance Systems</t>
  </si>
  <si>
    <t>S. Abinesh; M. Kathiresh; R. Neelavenik</t>
  </si>
  <si>
    <t>Analysis of Multi-Core Architecture for Automotive Applications</t>
  </si>
  <si>
    <t>Texas Instruments</t>
  </si>
  <si>
    <t>Automotive MCU</t>
  </si>
  <si>
    <t>Infineon</t>
  </si>
  <si>
    <t>Infineon Devices</t>
  </si>
  <si>
    <t>Freescale (NXP)</t>
  </si>
  <si>
    <t>Freescale Automotive MCU</t>
  </si>
  <si>
    <t>Renesas</t>
  </si>
  <si>
    <t>Renesas Automotive MCU</t>
  </si>
  <si>
    <t>STMicroelectronics</t>
  </si>
  <si>
    <t>ST Automotive MCU</t>
  </si>
  <si>
    <t>J. Fisher-Ogden</t>
  </si>
  <si>
    <t>Hardware Support for Efficient Virtualization</t>
  </si>
  <si>
    <t>J. Beningo</t>
  </si>
  <si>
    <t>Understanding the Microcontroller Boot Process</t>
  </si>
  <si>
    <t>J. Sugerman; G. Venkitachalam; B. H. Lim</t>
  </si>
  <si>
    <t>Virtualizing I/O Devices on VMware Workstation’s Hosted Virtual Machine Monitor</t>
  </si>
  <si>
    <t>P. Varanasi; G. Heiser</t>
  </si>
  <si>
    <t>Hardware-Supported Virtualization on ARM</t>
  </si>
  <si>
    <t>C. Herber; A. Richter; H. Rauchfuss; A. Herkersdorf</t>
  </si>
  <si>
    <t>Spatial and Temporal Isolation of Virtual CAN Controllers</t>
  </si>
  <si>
    <t>Self-Virtualized CAN Controller for Multi-Core Processors in Real-Time Applications</t>
  </si>
  <si>
    <t>M. Belwal; T. S. B. Sudarshan</t>
  </si>
  <si>
    <t>Intermediate Representation for Heterogeneous Multi-Core: A Survey</t>
  </si>
  <si>
    <t>C. Herber; D. Reinhardt; A. Richter; A. Herkersdorf</t>
  </si>
  <si>
    <t>HW/SW Trade-Offs in I/O Virtualization for Controller Area Network</t>
  </si>
  <si>
    <t>note that they use both mcu and high perf processor</t>
  </si>
  <si>
    <t>D. Reinhardt; M. Güntner; S. Obermeir</t>
  </si>
  <si>
    <t>Virtualized Communication Controllers in Safety-Related Automotive Embedded Systems</t>
  </si>
  <si>
    <t>look similar to a secondary</t>
  </si>
  <si>
    <t>G. Breaban; M. Koedam; S. Stuijk; K. Goossens</t>
  </si>
  <si>
    <t>Virtualization and Emulation of a CAN Device on a Multi-Processor System-on-Chip</t>
  </si>
  <si>
    <t>A. Menon; J. R. Santos; Y. Turner; G. Janakiraman; W. Zwaenepoel</t>
  </si>
  <si>
    <t>Diagnosing Performance Overheads in the Xen Virtual Machine Environment</t>
  </si>
  <si>
    <t>A. Kohn; K. Schmidt; J. Decker; M. Sebastian; A. Züpke; A. Herkersdorf</t>
  </si>
  <si>
    <t>Timing Analysis for Hypervisor-Based I/O Virtualization in Safety-Related Automotive Systems</t>
  </si>
  <si>
    <t>C. Moratelli; F. Hessel</t>
  </si>
  <si>
    <t>Hardware-Assisted Interrupt Delivery Optimization for Virtualized Embedded Platforms</t>
  </si>
  <si>
    <t>J. Perez-Cerrolaza; P. Balbastre; E. Mezzetti</t>
  </si>
  <si>
    <t>Z. Guo; K. Koufos; M. Dianati</t>
  </si>
  <si>
    <t>State-of-the-Art Virtualisation Technologies for the Centralised Automotive E/E Architecture</t>
  </si>
  <si>
    <t>I. Koley; S. Dey; D. Mukhopadhyay; S. Singh</t>
  </si>
  <si>
    <t>CAD Support for Security and Robustness Analysis of Safety-Critical Automotive Software</t>
  </si>
  <si>
    <t>S. H. Sankar; V. K. Jyothis; A. Suresh</t>
  </si>
  <si>
    <t>Comparative Analysis of Advanced Driver Assistance Systems (ADAS)</t>
  </si>
  <si>
    <t>S. H. Sankar; V. K. Jyothis; A. Suresh; P. S. Anand</t>
  </si>
  <si>
    <t>Comparative Analysis of Advanced Driver Assistance Systems (ADAS) in Automobiles</t>
  </si>
  <si>
    <t>Pan, Runyu; Parmer, Gabriel</t>
  </si>
  <si>
    <t>Micaiah Chisholm; Bryan C. Ward; Namhoon Kim; James H. Anderson</t>
  </si>
  <si>
    <t>Cache sharing and isolation tradeoffs in multicore mixed-criticality systems</t>
  </si>
  <si>
    <t>Abraham A. Clements; Naif Saleh Almakhdhub; Saurabh Bagchi; Mathias Payer</t>
  </si>
  <si>
    <t>HighTec EDV-Systeme</t>
  </si>
  <si>
    <t>PXROS-HR</t>
  </si>
  <si>
    <t>Bernhard Egger; Jaejin Lee; Heonshik Shin</t>
  </si>
  <si>
    <t>Scratchpad memory management in a multitasking environment</t>
  </si>
  <si>
    <t>Kevin Elphinstone; Gernot Heiser</t>
  </si>
  <si>
    <t>From L3 to seL4 what have we learnt in 20 years of L4 microkernels?</t>
  </si>
  <si>
    <t>Emcraft</t>
  </si>
  <si>
    <t>ucLinux</t>
  </si>
  <si>
    <t>Farzad Farshchi; Prathap Kumar Valsan; Renato Mancuso; Heechul Yun</t>
  </si>
  <si>
    <t>Deterministic memory abstraction and supporting multicore system architecture</t>
  </si>
  <si>
    <t>Phani Kishore Gadepalli; Robert Gifford; Lucas Baier; Michael Kelly; Gabriel Parmer</t>
  </si>
  <si>
    <t>Amir H. Hashemi; David R. Kaeli; Brad Calder</t>
  </si>
  <si>
    <t>Efficient procedure mapping using cache line coloring</t>
  </si>
  <si>
    <t>Takuya Ishikawa; Toshikazu Kato; Shinya Honda; Hiroaki Takada</t>
  </si>
  <si>
    <t>Investigation and improvement on the impact of TLB misses in real-time systems</t>
  </si>
  <si>
    <t>Hyoseung Kim; Arvind Kandhalu; Ragunathan Rajkumar</t>
  </si>
  <si>
    <t>A coordinated approach for practical OS-level cache management in multi-core real-time systems</t>
  </si>
  <si>
    <t>Tomasz Kloda; Marco Solieri; Renato Mancuso; Nicola Capodieci; Paolo Valente; Marko Bertogna</t>
  </si>
  <si>
    <t>Deterministic memory hierarchy and virtualization for modern multi-core embedded systems</t>
  </si>
  <si>
    <t>Lian Li; Lin Gao; Jingling Xue</t>
  </si>
  <si>
    <t>Memory coloring: A compiler approach for scratchpad memory management</t>
  </si>
  <si>
    <t>Renato Mancuso; Roman Dudko; Emiliano Betti; Marco Cesati; Marco Caccamo; Rodolfo Pellizzoni</t>
  </si>
  <si>
    <t>Realtime cache management framework for multi-core architectures</t>
  </si>
  <si>
    <t>Sparsh Mittal</t>
  </si>
  <si>
    <t>A survey of techniques for cache locking</t>
  </si>
  <si>
    <t>Frank Mueller</t>
  </si>
  <si>
    <t>Compiler support for software-based cache partitioning</t>
  </si>
  <si>
    <t>Runyu Pan; Gregor Peach; Yuxin Ren; Gabriel Parmer</t>
  </si>
  <si>
    <t>Moinuddin K. Qureshi; Yale N. Patt</t>
  </si>
  <si>
    <t>Utility-based cache partitioning: A low-overhead, high-performance, runtime mechanism to partition shared caches</t>
  </si>
  <si>
    <t>Muhammad Refaat Soliman; Rodolfo Pellizzoni</t>
  </si>
  <si>
    <t>WCET-driven dynamic data scratchpad management with compiler-directed prefetching</t>
  </si>
  <si>
    <t>G. E. Suh; L. Rudolph; S. Devadas</t>
  </si>
  <si>
    <t>Vivy Suhendra; Tulika Mitra; Abhik Roychoudhury; Ting Chen</t>
  </si>
  <si>
    <t>WCET centric data allocation to scratchpad memory</t>
  </si>
  <si>
    <t>Qi Wang; Yuxin Ren; Matt Scaperoth; Gabriel Parmer</t>
  </si>
  <si>
    <t>Bryan C. Ward; Jonathan L. Herman; Christopher J. Kenna; James H. Anderson</t>
  </si>
  <si>
    <t>Making shared caches more predictable on multicore platforms</t>
  </si>
  <si>
    <t>Xiao Zhang; Sandhya Dwarkadas; Kai Shen</t>
  </si>
  <si>
    <t>Towards practical page coloring-based multicore cache management</t>
  </si>
  <si>
    <t>J. Li; R. Hou; G. Shang; H. Zhang; et al.</t>
  </si>
  <si>
    <t>Sbis: Application access to safe, baremetal interrupt latencies</t>
  </si>
  <si>
    <t>M. Grisafi; M. Ammar; B. Crispo</t>
  </si>
  <si>
    <t>On the (in) security of memory protection units: A cautionary note</t>
  </si>
  <si>
    <t>M. Grisafi</t>
  </si>
  <si>
    <t>On the importance of software-hardware co-design of Trusted Computing architectures and services</t>
  </si>
  <si>
    <t>D. Ferraro; A. Bastoni; A. Zuepke; et al.</t>
  </si>
  <si>
    <t>Enabling Security on the Edge: A CHERI Compartmentalized Network Stack</t>
  </si>
  <si>
    <t>L. Fazzini; G. Valente; F. Federici; M. P. Corbett; T. Di Mascio</t>
  </si>
  <si>
    <t>C. B. Watkins; R. Walter</t>
  </si>
  <si>
    <t>Transitioning from federated avionics architectures to integrated modular avionics</t>
  </si>
  <si>
    <t>A. R. I. Software</t>
  </si>
  <si>
    <t>ARINC Specification 653-1 Avionics application standard interface</t>
  </si>
  <si>
    <t>Partitioning in avionics architectures: Requirements, mechanisms, and assurance</t>
  </si>
  <si>
    <t>V. Muttillo; G. Valente; L. Pomante</t>
  </si>
  <si>
    <t>Design space exploration for mixed-criticality embedded systems considering hypervisor-based sw partitions</t>
  </si>
  <si>
    <t>EX8/EX9</t>
  </si>
  <si>
    <t>N. Dejon; C. Gaber; G. Grimaud</t>
  </si>
  <si>
    <t>From mmu to mpu: adaptation of the pip kernel to constrained devices</t>
  </si>
  <si>
    <t>ARM Cortex-M23</t>
  </si>
  <si>
    <t>Microchip</t>
  </si>
  <si>
    <t>AVR32UC microprocessor</t>
  </si>
  <si>
    <t>Virtualization on trustzone-enabled microcontrollers? voilà!</t>
  </si>
  <si>
    <t>The RISC-V instruction set manual volume II: Privileged architecture</t>
  </si>
  <si>
    <t>J. Ma; T. Chong; L. Li; H. Liu; X. Zhang; L. Liu; Y. Yuan</t>
  </si>
  <si>
    <t>Construction of RISC-V lightweight trusted execution environment based on hardware extension</t>
  </si>
  <si>
    <t>RISC-V TEE Task Group</t>
  </si>
  <si>
    <t>Secondary M-mode Trusted ConText Extension</t>
  </si>
  <si>
    <t>A. Cilardo; S. Mercogliano</t>
  </si>
  <si>
    <t>Flexible privilege management for microcontroller-class RISC-V cores</t>
  </si>
  <si>
    <t>M. Hill</t>
  </si>
  <si>
    <t>TESx: Trusted Execution State</t>
  </si>
  <si>
    <t>G. D’Andrea; T. Di Mascio; G. Valente</t>
  </si>
  <si>
    <t>Self-adaptive loop for CPSS: is the dynamic partial reconfiguration profitable?</t>
  </si>
  <si>
    <r>
      <rPr>
        <b/>
        <sz val="12"/>
        <color rgb="FF000000"/>
        <rFont val="Calibri"/>
        <family val="2"/>
        <scheme val="minor"/>
      </rPr>
      <t xml:space="preserve">EX7/EX8
</t>
    </r>
    <r>
      <rPr>
        <sz val="12"/>
        <color rgb="FF000000"/>
        <rFont val="Calibri"/>
        <family val="2"/>
        <scheme val="minor"/>
      </rPr>
      <t>The paper discusses about the implementation on a network of MCUs in an FPGA</t>
    </r>
  </si>
  <si>
    <r>
      <t xml:space="preserve">Non peer reviewed article 
</t>
    </r>
    <r>
      <rPr>
        <b/>
        <sz val="11"/>
        <color theme="1"/>
        <rFont val="Calibri"/>
        <family val="2"/>
        <scheme val="minor"/>
      </rPr>
      <t>EX2</t>
    </r>
  </si>
  <si>
    <r>
      <rPr>
        <b/>
        <sz val="12"/>
        <color rgb="FF000000"/>
        <rFont val="Calibri"/>
        <family val="2"/>
        <scheme val="minor"/>
      </rPr>
      <t xml:space="preserve">EX9
</t>
    </r>
    <r>
      <rPr>
        <sz val="12"/>
        <color rgb="FF000000"/>
        <rFont val="Calibri"/>
        <family val="2"/>
        <scheme val="minor"/>
      </rPr>
      <t>The paper discusses about virtualization for RISC-V-based Mixed criticality systems, but it considers high end processors, with virtualization extension (H-Mode), Supervisor Mode and a MMU</t>
    </r>
  </si>
  <si>
    <r>
      <t xml:space="preserve">EX2
</t>
    </r>
    <r>
      <rPr>
        <sz val="12"/>
        <color theme="1"/>
        <rFont val="Calibri"/>
        <family val="2"/>
        <scheme val="minor"/>
      </rPr>
      <t>From the abstract is evident that the paper is a survey</t>
    </r>
  </si>
  <si>
    <r>
      <t xml:space="preserve">Duplicate
</t>
    </r>
    <r>
      <rPr>
        <b/>
        <sz val="11"/>
        <color theme="1"/>
        <rFont val="Calibri"/>
        <family val="2"/>
        <scheme val="minor"/>
      </rPr>
      <t>EX5</t>
    </r>
  </si>
  <si>
    <r>
      <rPr>
        <b/>
        <sz val="12"/>
        <color rgb="FF000000"/>
        <rFont val="Calibri"/>
        <family val="2"/>
        <scheme val="minor"/>
      </rPr>
      <t xml:space="preserve">EX8
</t>
    </r>
    <r>
      <rPr>
        <sz val="12"/>
        <color rgb="FF000000"/>
        <rFont val="Calibri"/>
        <family val="2"/>
        <scheme val="minor"/>
      </rPr>
      <t>Security solution that modifies the compiler to permit to execute the whole application in unprivileged level, and to execute ony some instructions at privileged level. The compiler does all this automatically</t>
    </r>
  </si>
  <si>
    <r>
      <t xml:space="preserve">Not about virtualization
</t>
    </r>
    <r>
      <rPr>
        <b/>
        <sz val="11"/>
        <color theme="1"/>
        <rFont val="Calibri"/>
        <family val="2"/>
        <scheme val="minor"/>
      </rPr>
      <t>EX7</t>
    </r>
  </si>
  <si>
    <r>
      <t xml:space="preserve">EX9
</t>
    </r>
    <r>
      <rPr>
        <sz val="11"/>
        <color theme="1"/>
        <rFont val="Calibri"/>
        <family val="2"/>
        <scheme val="minor"/>
      </rPr>
      <t>Altough it says the solution works on ARMv8-R,  Actual implementation and evaluation are performed exclusively on ARMv8-A</t>
    </r>
  </si>
  <si>
    <r>
      <t xml:space="preserve">EX2
</t>
    </r>
    <r>
      <rPr>
        <sz val="11"/>
        <color theme="1"/>
        <rFont val="Calibri"/>
        <family val="2"/>
        <scheme val="minor"/>
      </rPr>
      <t>Non peer reviewed paper</t>
    </r>
  </si>
  <si>
    <r>
      <rPr>
        <b/>
        <sz val="11"/>
        <color rgb="FF000000"/>
        <rFont val="Calibri"/>
        <family val="2"/>
        <scheme val="minor"/>
      </rPr>
      <t xml:space="preserve">EX8
</t>
    </r>
    <r>
      <rPr>
        <sz val="11"/>
        <color rgb="FF000000"/>
        <rFont val="Calibri"/>
        <family val="2"/>
        <scheme val="minor"/>
      </rPr>
      <t>No solution proposed</t>
    </r>
  </si>
  <si>
    <r>
      <t xml:space="preserve">EX9
</t>
    </r>
    <r>
      <rPr>
        <sz val="11"/>
        <color theme="1"/>
        <rFont val="Calibri"/>
        <family val="2"/>
        <scheme val="minor"/>
      </rPr>
      <t>Use of ARM-A</t>
    </r>
  </si>
  <si>
    <r>
      <rPr>
        <sz val="12"/>
        <color rgb="FF000000"/>
        <rFont val="Calibri"/>
        <family val="2"/>
        <scheme val="minor"/>
      </rPr>
      <t xml:space="preserve">The paper proposes HW mechanisms for I/O Virtualization in dual-guest-virtualization for TrustZone. However it focuses on LTZVisor and on TrustZone-A so it cannot be included
</t>
    </r>
    <r>
      <rPr>
        <b/>
        <sz val="12"/>
        <color rgb="FF000000"/>
        <rFont val="Calibri"/>
        <family val="2"/>
        <scheme val="minor"/>
      </rPr>
      <t>EX9</t>
    </r>
  </si>
  <si>
    <r>
      <t xml:space="preserve">EX2
</t>
    </r>
    <r>
      <rPr>
        <sz val="11"/>
        <color theme="1"/>
        <rFont val="Calibri"/>
        <family val="2"/>
        <scheme val="minor"/>
      </rPr>
      <t>PhD Thesis</t>
    </r>
  </si>
  <si>
    <r>
      <t xml:space="preserve">EX2
</t>
    </r>
    <r>
      <rPr>
        <sz val="11"/>
        <color theme="1"/>
        <rFont val="Calibri"/>
        <family val="2"/>
        <scheme val="minor"/>
      </rPr>
      <t xml:space="preserve">non peer-reviewed
</t>
    </r>
    <r>
      <rPr>
        <b/>
        <sz val="11"/>
        <color theme="1"/>
        <rFont val="Calibri"/>
        <family val="2"/>
        <scheme val="minor"/>
      </rPr>
      <t xml:space="preserve">EX9
</t>
    </r>
    <r>
      <rPr>
        <sz val="11"/>
        <color theme="1"/>
        <rFont val="Calibri"/>
        <family val="2"/>
        <scheme val="minor"/>
      </rPr>
      <t>Need for MMU-based system</t>
    </r>
  </si>
  <si>
    <r>
      <t xml:space="preserve">EX2
</t>
    </r>
    <r>
      <rPr>
        <sz val="11"/>
        <color theme="1"/>
        <rFont val="Calibri"/>
        <family val="2"/>
        <scheme val="minor"/>
      </rPr>
      <t xml:space="preserve">non peer-reviewed
</t>
    </r>
    <r>
      <rPr>
        <b/>
        <sz val="11"/>
        <color theme="1"/>
        <rFont val="Calibri"/>
        <family val="2"/>
        <scheme val="minor"/>
      </rPr>
      <t xml:space="preserve">EX9
</t>
    </r>
    <r>
      <rPr>
        <sz val="11"/>
        <color theme="1"/>
        <rFont val="Calibri"/>
        <family val="2"/>
        <scheme val="minor"/>
      </rPr>
      <t>Cortex A</t>
    </r>
  </si>
  <si>
    <r>
      <rPr>
        <sz val="11"/>
        <color theme="1"/>
        <rFont val="Calibri"/>
        <family val="2"/>
        <scheme val="minor"/>
      </rPr>
      <t>Response timing analysis for scheduling is not part of virtualization</t>
    </r>
    <r>
      <rPr>
        <b/>
        <sz val="11"/>
        <color theme="1"/>
        <rFont val="Calibri"/>
        <family val="2"/>
        <scheme val="minor"/>
      </rPr>
      <t xml:space="preserve">
EX7</t>
    </r>
  </si>
  <si>
    <r>
      <t xml:space="preserve">phd thesis
</t>
    </r>
    <r>
      <rPr>
        <b/>
        <sz val="11"/>
        <color theme="1"/>
        <rFont val="Calibri"/>
        <family val="2"/>
        <scheme val="minor"/>
      </rPr>
      <t>EX2</t>
    </r>
  </si>
  <si>
    <r>
      <rPr>
        <b/>
        <sz val="11"/>
        <color rgb="FF000000"/>
        <rFont val="Calibri"/>
        <family val="2"/>
        <scheme val="minor"/>
      </rPr>
      <t xml:space="preserve">EX8
</t>
    </r>
    <r>
      <rPr>
        <sz val="11"/>
        <color rgb="FF000000"/>
        <rFont val="Calibri"/>
        <family val="2"/>
        <scheme val="minor"/>
      </rPr>
      <t>It uses AUTOBEST(laready included), but it does not define any new mechanism</t>
    </r>
  </si>
  <si>
    <r>
      <rPr>
        <sz val="11"/>
        <color rgb="FF000000"/>
        <rFont val="Calibri"/>
        <family val="2"/>
        <scheme val="minor"/>
      </rPr>
      <t xml:space="preserve">The paper discusses an ongoing engineering effort to achieve FACE Safety Base Operating System profile conformance by integrating two existing real-time operating systems used in avionics: Deos and RTEMS. They run on high-end processors
</t>
    </r>
    <r>
      <rPr>
        <b/>
        <sz val="11"/>
        <color rgb="FF000000"/>
        <rFont val="Calibri"/>
        <family val="2"/>
        <scheme val="minor"/>
      </rPr>
      <t>EX9</t>
    </r>
    <r>
      <rPr>
        <sz val="11"/>
        <color rgb="FF000000"/>
        <rFont val="Calibri"/>
        <family val="2"/>
        <scheme val="minor"/>
      </rPr>
      <t xml:space="preserve"> </t>
    </r>
  </si>
  <si>
    <r>
      <rPr>
        <b/>
        <sz val="11"/>
        <color rgb="FF000000"/>
        <rFont val="Calibri"/>
        <family val="2"/>
        <scheme val="minor"/>
      </rPr>
      <t xml:space="preserve">EX9
</t>
    </r>
    <r>
      <rPr>
        <sz val="11"/>
        <color rgb="FF000000"/>
        <rFont val="Calibri"/>
        <family val="2"/>
        <scheme val="minor"/>
      </rPr>
      <t>Leon4 uses an MMU</t>
    </r>
  </si>
  <si>
    <r>
      <rPr>
        <sz val="12"/>
        <color rgb="FF000000"/>
        <rFont val="Calibri"/>
        <family val="2"/>
        <scheme val="minor"/>
      </rPr>
      <t>Possible EX8, EX9
Scheduling for ARINC-653 -</t>
    </r>
    <r>
      <rPr>
        <b/>
        <sz val="12"/>
        <color rgb="FF000000"/>
        <rFont val="Calibri"/>
        <family val="2"/>
        <scheme val="minor"/>
      </rPr>
      <t xml:space="preserve"> not accessible</t>
    </r>
  </si>
  <si>
    <r>
      <t xml:space="preserve">EX2
</t>
    </r>
    <r>
      <rPr>
        <sz val="11"/>
        <color theme="1"/>
        <rFont val="Calibri"/>
        <family val="2"/>
        <scheme val="minor"/>
      </rPr>
      <t>Thesis</t>
    </r>
  </si>
  <si>
    <r>
      <t xml:space="preserve">EX7
</t>
    </r>
    <r>
      <rPr>
        <sz val="11"/>
        <color theme="1"/>
        <rFont val="Calibri"/>
        <family val="2"/>
        <scheme val="minor"/>
      </rPr>
      <t>No mechanism propsed</t>
    </r>
  </si>
  <si>
    <r>
      <rPr>
        <b/>
        <sz val="11"/>
        <color rgb="FF000000"/>
        <rFont val="Calibri"/>
        <family val="2"/>
        <scheme val="minor"/>
      </rPr>
      <t xml:space="preserve">EX2
</t>
    </r>
    <r>
      <rPr>
        <sz val="11"/>
        <color rgb="FF000000"/>
        <rFont val="Calibri"/>
        <family val="2"/>
        <scheme val="minor"/>
      </rPr>
      <t>PhD Thesis</t>
    </r>
  </si>
  <si>
    <r>
      <t xml:space="preserve">EX2
</t>
    </r>
    <r>
      <rPr>
        <sz val="11"/>
        <color theme="1"/>
        <rFont val="Calibri"/>
        <family val="2"/>
        <scheme val="minor"/>
      </rPr>
      <t>thesis</t>
    </r>
  </si>
  <si>
    <r>
      <rPr>
        <b/>
        <sz val="11"/>
        <color rgb="FF000000"/>
        <rFont val="Calibri"/>
        <family val="2"/>
        <scheme val="minor"/>
      </rPr>
      <t xml:space="preserve">EX2
</t>
    </r>
    <r>
      <rPr>
        <sz val="11"/>
        <color rgb="FF000000"/>
        <rFont val="Calibri"/>
        <family val="2"/>
        <scheme val="minor"/>
      </rPr>
      <t>thesis</t>
    </r>
  </si>
  <si>
    <r>
      <rPr>
        <b/>
        <sz val="11"/>
        <color rgb="FF000000"/>
        <rFont val="Calibri"/>
        <family val="2"/>
        <scheme val="minor"/>
      </rPr>
      <t xml:space="preserve">EX2, EX9
</t>
    </r>
    <r>
      <rPr>
        <sz val="11"/>
        <color rgb="FF000000"/>
        <rFont val="Calibri"/>
        <family val="2"/>
        <scheme val="minor"/>
      </rPr>
      <t>PhD Thesis</t>
    </r>
  </si>
  <si>
    <r>
      <t xml:space="preserve">EX2,
</t>
    </r>
    <r>
      <rPr>
        <sz val="11"/>
        <color rgb="FF000000"/>
        <rFont val="Calibri"/>
        <family val="2"/>
        <scheme val="minor"/>
      </rPr>
      <t>MasterThesis</t>
    </r>
  </si>
  <si>
    <r>
      <t xml:space="preserve">EX2, EX9
</t>
    </r>
    <r>
      <rPr>
        <sz val="11"/>
        <color theme="1"/>
        <rFont val="Calibri"/>
        <family val="2"/>
        <scheme val="minor"/>
      </rPr>
      <t>Not peer-reviewed and it targets processors with an MMU</t>
    </r>
  </si>
  <si>
    <r>
      <t xml:space="preserve">EX2
</t>
    </r>
    <r>
      <rPr>
        <sz val="11"/>
        <color theme="1"/>
        <rFont val="Calibri"/>
        <family val="2"/>
        <scheme val="minor"/>
      </rPr>
      <t>Master thesis</t>
    </r>
  </si>
  <si>
    <r>
      <t xml:space="preserve">EX2
</t>
    </r>
    <r>
      <rPr>
        <sz val="11"/>
        <color theme="1"/>
        <rFont val="Calibri"/>
        <family val="2"/>
        <scheme val="minor"/>
      </rPr>
      <t>Phd Thesis</t>
    </r>
  </si>
  <si>
    <t>STAGE5 FILTERING OUTPUT</t>
  </si>
  <si>
    <t>INCLUDED PAPERS THAT DISCUSS VIRTUALIZATION SOLUTIONS</t>
  </si>
  <si>
    <t xml:space="preserve"> Filtering Reviewer 1</t>
  </si>
  <si>
    <t xml:space="preserve"> Filtering Reviewer 2</t>
  </si>
  <si>
    <t>Filtering Reviewer 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</si>
</sst>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37" x14ac:knownFonts="1">
    <font>
      <sz val="11"/>
      <color theme="1"/>
      <name val="Calibri"/>
      <family val="2"/>
      <scheme val="minor"/>
    </font>
    <font>
      <sz val="11"/>
      <color theme="1"/>
      <name val="Calibri"/>
      <family val="2"/>
      <scheme val="minor"/>
    </font>
    <font>
      <sz val="11"/>
      <color rgb="FF9C0006"/>
      <name val="Calibri"/>
      <family val="2"/>
      <scheme val="minor"/>
    </font>
    <font>
      <b/>
      <sz val="11"/>
      <color theme="1"/>
      <name val="Calibri"/>
      <family val="2"/>
      <scheme val="minor"/>
    </font>
    <font>
      <u/>
      <sz val="11"/>
      <color theme="10"/>
      <name val="Calibri"/>
      <family val="2"/>
      <scheme val="minor"/>
    </font>
    <font>
      <b/>
      <sz val="72"/>
      <color theme="1"/>
      <name val="Calibri"/>
      <family val="2"/>
      <scheme val="minor"/>
    </font>
    <font>
      <sz val="18"/>
      <color theme="1"/>
      <name val="Calibri"/>
      <family val="2"/>
      <scheme val="minor"/>
    </font>
    <font>
      <sz val="10"/>
      <color theme="1"/>
      <name val="Calibri"/>
      <family val="2"/>
      <scheme val="minor"/>
    </font>
    <font>
      <b/>
      <sz val="18"/>
      <color theme="1"/>
      <name val="Calibri"/>
      <family val="2"/>
      <scheme val="minor"/>
    </font>
    <font>
      <u/>
      <sz val="18"/>
      <color theme="10"/>
      <name val="Cambria"/>
      <family val="2"/>
      <scheme val="major"/>
    </font>
    <font>
      <b/>
      <sz val="28"/>
      <color theme="0"/>
      <name val="Calibri"/>
      <family val="2"/>
      <scheme val="minor"/>
    </font>
    <font>
      <sz val="48"/>
      <color theme="0"/>
      <name val="Calibri"/>
      <family val="2"/>
      <scheme val="minor"/>
    </font>
    <font>
      <sz val="12"/>
      <color theme="1"/>
      <name val="Calibri"/>
      <family val="2"/>
      <scheme val="minor"/>
    </font>
    <font>
      <sz val="10"/>
      <color theme="0"/>
      <name val="Calibri"/>
      <family val="2"/>
      <scheme val="minor"/>
    </font>
    <font>
      <b/>
      <sz val="12"/>
      <color theme="1"/>
      <name val="Calibri"/>
      <family val="2"/>
      <scheme val="minor"/>
    </font>
    <font>
      <b/>
      <sz val="32"/>
      <color rgb="FF000000"/>
      <name val="Aptos"/>
      <family val="2"/>
    </font>
    <font>
      <b/>
      <sz val="10"/>
      <color theme="1"/>
      <name val="Calibri"/>
      <family val="2"/>
      <scheme val="minor"/>
    </font>
    <font>
      <sz val="10"/>
      <color rgb="FF666666"/>
      <name val="Arial"/>
      <family val="2"/>
    </font>
    <font>
      <sz val="12"/>
      <color rgb="FF000000"/>
      <name val="Calibri"/>
      <family val="2"/>
      <scheme val="minor"/>
    </font>
    <font>
      <b/>
      <sz val="12"/>
      <color rgb="FF000000"/>
      <name val="Calibri"/>
      <family val="2"/>
      <scheme val="minor"/>
    </font>
    <font>
      <sz val="10"/>
      <color rgb="FF9C0006"/>
      <name val="Calibri"/>
      <family val="2"/>
      <scheme val="minor"/>
    </font>
    <font>
      <sz val="10"/>
      <color rgb="FF000000"/>
      <name val="Arial"/>
      <family val="2"/>
    </font>
    <font>
      <sz val="11"/>
      <color rgb="FF000000"/>
      <name val="Aptos"/>
      <family val="2"/>
    </font>
    <font>
      <sz val="10"/>
      <color rgb="FF333333"/>
      <name val="Arial"/>
      <family val="2"/>
    </font>
    <font>
      <b/>
      <sz val="12"/>
      <color theme="0"/>
      <name val="Calibri"/>
      <family val="2"/>
      <scheme val="minor"/>
    </font>
    <font>
      <sz val="10"/>
      <color rgb="FF222222"/>
      <name val="Arial"/>
      <family val="2"/>
    </font>
    <font>
      <sz val="10"/>
      <color rgb="FF000000"/>
      <name val="Verdana"/>
      <family val="2"/>
    </font>
    <font>
      <u/>
      <sz val="18"/>
      <color theme="10"/>
      <name val="Calibri"/>
      <family val="2"/>
      <scheme val="minor"/>
    </font>
    <font>
      <b/>
      <sz val="11"/>
      <color rgb="FF000000"/>
      <name val="Calibri"/>
      <family val="2"/>
      <scheme val="minor"/>
    </font>
    <font>
      <sz val="11"/>
      <color rgb="FF000000"/>
      <name val="Calibri"/>
      <family val="2"/>
      <scheme val="minor"/>
    </font>
    <font>
      <sz val="11"/>
      <color rgb="FF333333"/>
      <name val="Arial"/>
      <family val="2"/>
    </font>
    <font>
      <i/>
      <sz val="11"/>
      <color theme="1"/>
      <name val="Calibri"/>
      <family val="2"/>
      <scheme val="minor"/>
    </font>
    <font>
      <sz val="8"/>
      <color rgb="FF222222"/>
      <name val="Arial"/>
      <family val="2"/>
    </font>
    <font>
      <sz val="11"/>
      <color rgb="FF222222"/>
      <name val="Times New Roman"/>
      <family val="1"/>
    </font>
    <font>
      <sz val="8"/>
      <color rgb="FF000000"/>
      <name val="Arial"/>
      <family val="2"/>
    </font>
    <font>
      <sz val="72"/>
      <color theme="1"/>
      <name val="Calibri"/>
      <family val="2"/>
      <scheme val="minor"/>
    </font>
    <font>
      <b/>
      <sz val="24"/>
      <color theme="1"/>
      <name val="Calibri"/>
      <family val="2"/>
      <scheme val="minor"/>
    </font>
  </fonts>
  <fills count="17">
    <fill>
      <patternFill patternType="none"/>
    </fill>
    <fill>
      <patternFill patternType="gray125"/>
    </fill>
    <fill>
      <patternFill patternType="solid">
        <fgColor rgb="FFFFC7CE"/>
      </patternFill>
    </fill>
    <fill>
      <patternFill patternType="solid">
        <fgColor theme="8" tint="0.39997558519241921"/>
        <bgColor indexed="64"/>
      </patternFill>
    </fill>
    <fill>
      <patternFill patternType="solid">
        <fgColor theme="2" tint="-9.9978637043366805E-2"/>
        <bgColor indexed="64"/>
      </patternFill>
    </fill>
    <fill>
      <patternFill patternType="solid">
        <fgColor theme="9" tint="0.79998168889431442"/>
        <bgColor indexed="64"/>
      </patternFill>
    </fill>
    <fill>
      <patternFill patternType="solid">
        <fgColor theme="1" tint="0.34998626667073579"/>
        <bgColor indexed="64"/>
      </patternFill>
    </fill>
    <fill>
      <patternFill patternType="solid">
        <fgColor theme="2" tint="-0.249977111117893"/>
        <bgColor indexed="64"/>
      </patternFill>
    </fill>
    <fill>
      <patternFill patternType="solid">
        <fgColor theme="4" tint="-0.499984740745262"/>
        <bgColor indexed="64"/>
      </patternFill>
    </fill>
    <fill>
      <patternFill patternType="solid">
        <fgColor theme="0"/>
        <bgColor indexed="64"/>
      </patternFill>
    </fill>
    <fill>
      <patternFill patternType="solid">
        <fgColor theme="1"/>
        <bgColor indexed="64"/>
      </patternFill>
    </fill>
    <fill>
      <patternFill patternType="solid">
        <fgColor theme="0"/>
        <bgColor theme="1"/>
      </patternFill>
    </fill>
    <fill>
      <patternFill patternType="solid">
        <fgColor rgb="FF00B050"/>
        <bgColor indexed="64"/>
      </patternFill>
    </fill>
    <fill>
      <patternFill patternType="solid">
        <fgColor rgb="FFFFFF00"/>
        <bgColor indexed="64"/>
      </patternFill>
    </fill>
    <fill>
      <patternFill patternType="solid">
        <fgColor rgb="FFFF0000"/>
        <bgColor indexed="64"/>
      </patternFill>
    </fill>
    <fill>
      <patternFill patternType="solid">
        <fgColor rgb="FFFFC000"/>
        <bgColor indexed="64"/>
      </patternFill>
    </fill>
    <fill>
      <patternFill patternType="solid">
        <fgColor theme="0"/>
      </patternFill>
    </fill>
  </fills>
  <borders count="37">
    <border>
      <left/>
      <right/>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style="thin">
        <color indexed="64"/>
      </left>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style="thin">
        <color indexed="64"/>
      </right>
      <top/>
      <bottom/>
      <diagonal/>
    </border>
    <border>
      <left style="medium">
        <color indexed="64"/>
      </left>
      <right style="thin">
        <color indexed="64"/>
      </right>
      <top style="thin">
        <color indexed="64"/>
      </top>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style="medium">
        <color indexed="64"/>
      </left>
      <right style="medium">
        <color indexed="64"/>
      </right>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medium">
        <color indexed="64"/>
      </left>
      <right style="thin">
        <color indexed="64"/>
      </right>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medium">
        <color indexed="64"/>
      </bottom>
      <diagonal/>
    </border>
    <border>
      <left style="thin">
        <color rgb="FF000000"/>
      </left>
      <right style="thin">
        <color rgb="FF000000"/>
      </right>
      <top style="thin">
        <color rgb="FF000000"/>
      </top>
      <bottom style="thin">
        <color rgb="FF000000"/>
      </bottom>
      <diagonal/>
    </border>
    <border>
      <left/>
      <right style="thin">
        <color indexed="64"/>
      </right>
      <top style="thin">
        <color indexed="64"/>
      </top>
      <bottom style="thin">
        <color indexed="64"/>
      </bottom>
      <diagonal/>
    </border>
    <border>
      <left/>
      <right/>
      <top/>
      <bottom style="thin">
        <color indexed="64"/>
      </bottom>
      <diagonal/>
    </border>
    <border>
      <left/>
      <right style="medium">
        <color indexed="64"/>
      </right>
      <top/>
      <bottom style="thin">
        <color indexed="64"/>
      </bottom>
      <diagonal/>
    </border>
    <border>
      <left/>
      <right style="thin">
        <color indexed="64"/>
      </right>
      <top style="thin">
        <color indexed="64"/>
      </top>
      <bottom/>
      <diagonal/>
    </border>
    <border>
      <left style="medium">
        <color indexed="64"/>
      </left>
      <right/>
      <top style="thin">
        <color indexed="64"/>
      </top>
      <bottom/>
      <diagonal/>
    </border>
    <border>
      <left style="medium">
        <color indexed="64"/>
      </left>
      <right/>
      <top/>
      <bottom style="thin">
        <color indexed="64"/>
      </bottom>
      <diagonal/>
    </border>
  </borders>
  <cellStyleXfs count="6">
    <xf numFmtId="0" fontId="0" fillId="0" borderId="0"/>
    <xf numFmtId="0" fontId="2" fillId="2" borderId="0" applyNumberFormat="0" applyBorder="0" applyAlignment="0" applyProtection="0"/>
    <xf numFmtId="0" fontId="4" fillId="0" borderId="0" applyNumberFormat="0" applyFill="0" applyBorder="0" applyAlignment="0" applyProtection="0"/>
    <xf numFmtId="0" fontId="12" fillId="12" borderId="7" applyFont="0" applyBorder="0" applyProtection="0">
      <alignment horizontal="center" vertical="center" wrapText="1"/>
    </xf>
    <xf numFmtId="0" fontId="12" fillId="13" borderId="7" applyFont="0" applyBorder="0" applyProtection="0">
      <alignment horizontal="center" vertical="center" wrapText="1"/>
    </xf>
    <xf numFmtId="0" fontId="1" fillId="14" borderId="24" applyFont="0" applyBorder="0">
      <alignment horizontal="center" vertical="center" wrapText="1"/>
    </xf>
  </cellStyleXfs>
  <cellXfs count="225">
    <xf numFmtId="0" fontId="0" fillId="0" borderId="0" xfId="0"/>
    <xf numFmtId="0" fontId="6" fillId="4" borderId="1" xfId="0" applyFont="1" applyFill="1" applyBorder="1" applyAlignment="1">
      <alignment horizontal="center" vertical="center"/>
    </xf>
    <xf numFmtId="0" fontId="6" fillId="4" borderId="2" xfId="0" applyFont="1" applyFill="1" applyBorder="1" applyAlignment="1">
      <alignment horizontal="center" vertical="center"/>
    </xf>
    <xf numFmtId="0" fontId="6" fillId="4" borderId="3" xfId="0" applyFont="1" applyFill="1" applyBorder="1" applyAlignment="1">
      <alignment horizontal="center" vertical="center"/>
    </xf>
    <xf numFmtId="0" fontId="6" fillId="4" borderId="0" xfId="0" applyFont="1" applyFill="1"/>
    <xf numFmtId="0" fontId="8" fillId="5" borderId="4" xfId="0" applyFont="1" applyFill="1" applyBorder="1" applyAlignment="1">
      <alignment horizontal="center" vertical="center" wrapText="1"/>
    </xf>
    <xf numFmtId="0" fontId="6" fillId="5" borderId="5" xfId="0" applyFont="1" applyFill="1" applyBorder="1" applyAlignment="1">
      <alignment horizontal="center" vertical="center" wrapText="1"/>
    </xf>
    <xf numFmtId="0" fontId="9" fillId="5" borderId="5" xfId="2" applyFont="1" applyFill="1" applyBorder="1" applyAlignment="1">
      <alignment horizontal="center" vertical="center" wrapText="1"/>
    </xf>
    <xf numFmtId="0" fontId="6" fillId="5" borderId="6" xfId="0" applyFont="1" applyFill="1" applyBorder="1" applyAlignment="1">
      <alignment horizontal="center" vertical="center" wrapText="1"/>
    </xf>
    <xf numFmtId="0" fontId="6" fillId="5" borderId="0" xfId="0" applyFont="1" applyFill="1"/>
    <xf numFmtId="0" fontId="0" fillId="0" borderId="0" xfId="0" applyAlignment="1">
      <alignment wrapText="1"/>
    </xf>
    <xf numFmtId="0" fontId="12" fillId="0" borderId="0" xfId="0" applyFont="1" applyAlignment="1">
      <alignment horizontal="center" vertical="center" wrapText="1"/>
    </xf>
    <xf numFmtId="0" fontId="12" fillId="9" borderId="0" xfId="0" applyFont="1" applyFill="1" applyAlignment="1">
      <alignment horizontal="center" vertical="center" wrapText="1"/>
    </xf>
    <xf numFmtId="0" fontId="12" fillId="0" borderId="14" xfId="0" applyFont="1" applyBorder="1" applyAlignment="1">
      <alignment horizontal="center" vertical="center" wrapText="1"/>
    </xf>
    <xf numFmtId="0" fontId="12" fillId="9" borderId="14" xfId="0" applyFont="1" applyFill="1" applyBorder="1" applyAlignment="1">
      <alignment horizontal="center" vertical="center" wrapText="1"/>
    </xf>
    <xf numFmtId="0" fontId="12" fillId="10" borderId="10" xfId="0" applyFont="1" applyFill="1" applyBorder="1" applyAlignment="1">
      <alignment horizontal="center" vertical="center" wrapText="1"/>
    </xf>
    <xf numFmtId="0" fontId="12" fillId="10" borderId="0" xfId="0" applyFont="1" applyFill="1" applyAlignment="1">
      <alignment horizontal="center" vertical="center" wrapText="1"/>
    </xf>
    <xf numFmtId="0" fontId="13" fillId="10" borderId="11" xfId="0" applyFont="1" applyFill="1" applyBorder="1" applyAlignment="1">
      <alignment horizontal="center" vertical="center" wrapText="1"/>
    </xf>
    <xf numFmtId="0" fontId="14" fillId="11" borderId="17" xfId="0" applyFont="1" applyFill="1" applyBorder="1" applyAlignment="1">
      <alignment horizontal="center" vertical="center" wrapText="1"/>
    </xf>
    <xf numFmtId="0" fontId="12" fillId="11" borderId="14" xfId="0" applyFont="1" applyFill="1" applyBorder="1" applyAlignment="1">
      <alignment horizontal="center" vertical="center" wrapText="1"/>
    </xf>
    <xf numFmtId="0" fontId="16" fillId="11" borderId="0" xfId="0" applyFont="1" applyFill="1" applyAlignment="1">
      <alignment horizontal="center" vertical="center" wrapText="1"/>
    </xf>
    <xf numFmtId="0" fontId="15" fillId="9" borderId="17" xfId="0" applyFont="1" applyFill="1" applyBorder="1" applyAlignment="1">
      <alignment horizontal="center" vertical="center" wrapText="1"/>
    </xf>
    <xf numFmtId="0" fontId="14" fillId="12" borderId="17" xfId="3" applyFont="1" applyBorder="1">
      <alignment horizontal="center" vertical="center" wrapText="1"/>
    </xf>
    <xf numFmtId="0" fontId="14" fillId="9" borderId="14" xfId="0" applyFont="1" applyFill="1" applyBorder="1" applyAlignment="1">
      <alignment horizontal="center" vertical="center" wrapText="1"/>
    </xf>
    <xf numFmtId="0" fontId="17" fillId="0" borderId="18" xfId="0" applyFont="1" applyBorder="1" applyAlignment="1">
      <alignment wrapText="1"/>
    </xf>
    <xf numFmtId="0" fontId="18" fillId="14" borderId="17" xfId="4" applyFont="1" applyFill="1" applyBorder="1">
      <alignment horizontal="center" vertical="center" wrapText="1"/>
    </xf>
    <xf numFmtId="0" fontId="20" fillId="9" borderId="18" xfId="1" applyFont="1" applyFill="1" applyBorder="1" applyAlignment="1">
      <alignment horizontal="center" vertical="center" wrapText="1"/>
    </xf>
    <xf numFmtId="0" fontId="2" fillId="9" borderId="17" xfId="1" applyFill="1" applyBorder="1" applyAlignment="1">
      <alignment horizontal="center" vertical="center" wrapText="1"/>
    </xf>
    <xf numFmtId="0" fontId="2" fillId="9" borderId="18" xfId="1" applyFill="1" applyBorder="1" applyAlignment="1">
      <alignment horizontal="center" vertical="center" wrapText="1"/>
    </xf>
    <xf numFmtId="0" fontId="14" fillId="14" borderId="17" xfId="3" applyFont="1" applyFill="1" applyBorder="1">
      <alignment horizontal="center" vertical="center" wrapText="1"/>
    </xf>
    <xf numFmtId="0" fontId="18" fillId="12" borderId="17" xfId="3" applyFont="1" applyBorder="1">
      <alignment horizontal="center" vertical="center" wrapText="1"/>
    </xf>
    <xf numFmtId="0" fontId="21" fillId="0" borderId="0" xfId="0" applyFont="1" applyAlignment="1">
      <alignment wrapText="1"/>
    </xf>
    <xf numFmtId="0" fontId="16" fillId="11" borderId="18" xfId="0" applyFont="1" applyFill="1" applyBorder="1" applyAlignment="1">
      <alignment horizontal="center" vertical="center" wrapText="1"/>
    </xf>
    <xf numFmtId="0" fontId="14" fillId="14" borderId="17" xfId="4" applyFont="1" applyFill="1" applyBorder="1">
      <alignment horizontal="center" vertical="center" wrapText="1"/>
    </xf>
    <xf numFmtId="0" fontId="7" fillId="0" borderId="0" xfId="0" applyFont="1" applyAlignment="1">
      <alignment wrapText="1"/>
    </xf>
    <xf numFmtId="0" fontId="18" fillId="15" borderId="17" xfId="4" applyFont="1" applyFill="1" applyBorder="1">
      <alignment horizontal="center" vertical="center" wrapText="1"/>
    </xf>
    <xf numFmtId="0" fontId="7" fillId="11" borderId="18" xfId="0" applyFont="1" applyFill="1" applyBorder="1" applyAlignment="1">
      <alignment horizontal="center" vertical="center" wrapText="1"/>
    </xf>
    <xf numFmtId="0" fontId="14" fillId="9" borderId="17" xfId="4" applyFont="1" applyFill="1" applyBorder="1">
      <alignment horizontal="center" vertical="center" wrapText="1"/>
    </xf>
    <xf numFmtId="0" fontId="14" fillId="12" borderId="14" xfId="0" applyFont="1" applyFill="1" applyBorder="1" applyAlignment="1">
      <alignment horizontal="center" vertical="center" wrapText="1"/>
    </xf>
    <xf numFmtId="0" fontId="21" fillId="9" borderId="18" xfId="0" applyFont="1" applyFill="1" applyBorder="1" applyAlignment="1">
      <alignment wrapText="1"/>
    </xf>
    <xf numFmtId="0" fontId="14" fillId="14" borderId="17" xfId="5" applyFont="1" applyBorder="1">
      <alignment horizontal="center" vertical="center" wrapText="1"/>
    </xf>
    <xf numFmtId="0" fontId="12" fillId="14" borderId="14" xfId="0" applyFont="1" applyFill="1" applyBorder="1" applyAlignment="1">
      <alignment horizontal="center" vertical="center" wrapText="1"/>
    </xf>
    <xf numFmtId="0" fontId="3" fillId="14" borderId="17" xfId="3" applyFont="1" applyFill="1" applyBorder="1">
      <alignment horizontal="center" vertical="center" wrapText="1"/>
    </xf>
    <xf numFmtId="0" fontId="14" fillId="14" borderId="14" xfId="0" applyFont="1" applyFill="1" applyBorder="1" applyAlignment="1">
      <alignment horizontal="center" vertical="center" wrapText="1"/>
    </xf>
    <xf numFmtId="0" fontId="6" fillId="4" borderId="14" xfId="0" applyFont="1" applyFill="1" applyBorder="1" applyAlignment="1">
      <alignment horizontal="center" vertical="center"/>
    </xf>
    <xf numFmtId="0" fontId="6" fillId="4" borderId="22" xfId="0" applyFont="1" applyFill="1" applyBorder="1" applyAlignment="1">
      <alignment horizontal="center" vertical="center"/>
    </xf>
    <xf numFmtId="0" fontId="6" fillId="4" borderId="23" xfId="0" applyFont="1" applyFill="1" applyBorder="1" applyAlignment="1">
      <alignment horizontal="center" vertical="center"/>
    </xf>
    <xf numFmtId="0" fontId="6" fillId="4" borderId="17" xfId="0" applyFont="1" applyFill="1" applyBorder="1"/>
    <xf numFmtId="0" fontId="6" fillId="4" borderId="14" xfId="0" applyFont="1" applyFill="1" applyBorder="1"/>
    <xf numFmtId="0" fontId="8" fillId="5" borderId="14" xfId="0" applyFont="1" applyFill="1" applyBorder="1" applyAlignment="1">
      <alignment horizontal="center" vertical="center" wrapText="1"/>
    </xf>
    <xf numFmtId="0" fontId="6" fillId="5" borderId="14" xfId="0" applyFont="1" applyFill="1" applyBorder="1" applyAlignment="1">
      <alignment horizontal="center" vertical="center" wrapText="1"/>
    </xf>
    <xf numFmtId="0" fontId="6" fillId="5" borderId="25" xfId="0" applyFont="1" applyFill="1" applyBorder="1" applyAlignment="1">
      <alignment horizontal="center" vertical="center" wrapText="1"/>
    </xf>
    <xf numFmtId="0" fontId="9" fillId="5" borderId="25" xfId="2" applyFont="1" applyFill="1" applyBorder="1" applyAlignment="1">
      <alignment horizontal="center" vertical="center" wrapText="1"/>
    </xf>
    <xf numFmtId="0" fontId="6" fillId="5" borderId="26" xfId="0" applyFont="1" applyFill="1" applyBorder="1" applyAlignment="1">
      <alignment horizontal="center" vertical="center" wrapText="1"/>
    </xf>
    <xf numFmtId="0" fontId="6" fillId="5" borderId="17" xfId="0" applyFont="1" applyFill="1" applyBorder="1"/>
    <xf numFmtId="0" fontId="12" fillId="10" borderId="14" xfId="0" applyFont="1" applyFill="1" applyBorder="1" applyAlignment="1">
      <alignment horizontal="center" vertical="center" wrapText="1"/>
    </xf>
    <xf numFmtId="0" fontId="12" fillId="10" borderId="17" xfId="0" applyFont="1" applyFill="1" applyBorder="1" applyAlignment="1">
      <alignment horizontal="center" vertical="center" wrapText="1"/>
    </xf>
    <xf numFmtId="0" fontId="13" fillId="10" borderId="18" xfId="0" applyFont="1" applyFill="1" applyBorder="1" applyAlignment="1">
      <alignment horizontal="center" vertical="center" wrapText="1"/>
    </xf>
    <xf numFmtId="0" fontId="12" fillId="10" borderId="18" xfId="0" applyFont="1" applyFill="1" applyBorder="1" applyAlignment="1">
      <alignment horizontal="center" vertical="center" wrapText="1"/>
    </xf>
    <xf numFmtId="0" fontId="0" fillId="9" borderId="14" xfId="0" applyFill="1" applyBorder="1" applyAlignment="1">
      <alignment horizontal="center" vertical="center" wrapText="1"/>
    </xf>
    <xf numFmtId="0" fontId="13" fillId="11" borderId="0" xfId="0" applyFont="1" applyFill="1" applyAlignment="1">
      <alignment horizontal="center" vertical="center" wrapText="1"/>
    </xf>
    <xf numFmtId="0" fontId="2" fillId="16" borderId="17" xfId="1" applyFill="1" applyBorder="1" applyAlignment="1">
      <alignment horizontal="center" vertical="center" wrapText="1"/>
    </xf>
    <xf numFmtId="0" fontId="2" fillId="16" borderId="18" xfId="1" applyFill="1" applyBorder="1" applyAlignment="1">
      <alignment horizontal="center" vertical="center" wrapText="1"/>
    </xf>
    <xf numFmtId="0" fontId="12" fillId="14" borderId="17" xfId="5" applyFont="1" applyBorder="1">
      <alignment horizontal="center" vertical="center" wrapText="1"/>
    </xf>
    <xf numFmtId="0" fontId="22" fillId="13" borderId="14" xfId="0" applyFont="1" applyFill="1" applyBorder="1" applyAlignment="1">
      <alignment horizontal="center" vertical="center" wrapText="1"/>
    </xf>
    <xf numFmtId="0" fontId="6" fillId="9" borderId="14" xfId="0" applyFont="1" applyFill="1" applyBorder="1" applyAlignment="1">
      <alignment horizontal="center" vertical="center"/>
    </xf>
    <xf numFmtId="0" fontId="3" fillId="9" borderId="17" xfId="0" applyFont="1" applyFill="1" applyBorder="1" applyAlignment="1">
      <alignment horizontal="center" vertical="center" wrapText="1"/>
    </xf>
    <xf numFmtId="0" fontId="12" fillId="9" borderId="28" xfId="4" applyFont="1" applyFill="1" applyBorder="1">
      <alignment horizontal="center" vertical="center" wrapText="1"/>
    </xf>
    <xf numFmtId="0" fontId="22" fillId="14" borderId="14" xfId="0" applyFont="1" applyFill="1" applyBorder="1" applyAlignment="1">
      <alignment horizontal="center" vertical="center" wrapText="1"/>
    </xf>
    <xf numFmtId="0" fontId="13" fillId="11" borderId="18" xfId="0" applyFont="1" applyFill="1" applyBorder="1" applyAlignment="1">
      <alignment horizontal="center" vertical="center" wrapText="1"/>
    </xf>
    <xf numFmtId="0" fontId="12" fillId="9" borderId="20" xfId="3" applyFont="1" applyFill="1" applyBorder="1">
      <alignment horizontal="center" vertical="center" wrapText="1"/>
    </xf>
    <xf numFmtId="0" fontId="12" fillId="9" borderId="17" xfId="4" applyFont="1" applyFill="1" applyBorder="1">
      <alignment horizontal="center" vertical="center" wrapText="1"/>
    </xf>
    <xf numFmtId="0" fontId="12" fillId="9" borderId="28" xfId="3" applyFont="1" applyFill="1" applyBorder="1">
      <alignment horizontal="center" vertical="center" wrapText="1"/>
    </xf>
    <xf numFmtId="0" fontId="12" fillId="9" borderId="20" xfId="4" applyFont="1" applyFill="1" applyBorder="1">
      <alignment horizontal="center" vertical="center" wrapText="1"/>
    </xf>
    <xf numFmtId="0" fontId="23" fillId="9" borderId="18" xfId="0" applyFont="1" applyFill="1" applyBorder="1" applyAlignment="1">
      <alignment wrapText="1"/>
    </xf>
    <xf numFmtId="0" fontId="0" fillId="9" borderId="14" xfId="0" applyFill="1" applyBorder="1" applyAlignment="1">
      <alignment horizontal="center" vertical="center"/>
    </xf>
    <xf numFmtId="0" fontId="7" fillId="9" borderId="18" xfId="0" applyFont="1" applyFill="1" applyBorder="1" applyAlignment="1">
      <alignment wrapText="1"/>
    </xf>
    <xf numFmtId="0" fontId="6" fillId="9" borderId="14" xfId="0" applyFont="1" applyFill="1" applyBorder="1" applyAlignment="1">
      <alignment horizontal="center" vertical="center" wrapText="1"/>
    </xf>
    <xf numFmtId="0" fontId="12" fillId="14" borderId="20" xfId="5" applyFont="1" applyBorder="1">
      <alignment horizontal="center" vertical="center" wrapText="1"/>
    </xf>
    <xf numFmtId="0" fontId="20" fillId="9" borderId="0" xfId="1" applyFont="1" applyFill="1" applyBorder="1" applyAlignment="1">
      <alignment horizontal="center" vertical="center" wrapText="1"/>
    </xf>
    <xf numFmtId="0" fontId="3" fillId="14" borderId="28" xfId="3" applyFont="1" applyFill="1" applyBorder="1">
      <alignment horizontal="center" vertical="center" wrapText="1"/>
    </xf>
    <xf numFmtId="0" fontId="25" fillId="9" borderId="18" xfId="0" applyFont="1" applyFill="1" applyBorder="1" applyAlignment="1">
      <alignment horizontal="justify" vertical="center" wrapText="1"/>
    </xf>
    <xf numFmtId="0" fontId="26" fillId="9" borderId="18" xfId="0" applyFont="1" applyFill="1" applyBorder="1" applyAlignment="1">
      <alignment wrapText="1"/>
    </xf>
    <xf numFmtId="0" fontId="12" fillId="9" borderId="17" xfId="3" applyFont="1" applyFill="1" applyBorder="1">
      <alignment horizontal="center" vertical="center" wrapText="1"/>
    </xf>
    <xf numFmtId="0" fontId="15" fillId="0" borderId="14" xfId="0" applyFont="1" applyBorder="1" applyAlignment="1">
      <alignment horizontal="center" vertical="center" wrapText="1"/>
    </xf>
    <xf numFmtId="0" fontId="3" fillId="14" borderId="17" xfId="5" applyFont="1" applyBorder="1">
      <alignment horizontal="center" vertical="center" wrapText="1"/>
    </xf>
    <xf numFmtId="0" fontId="7" fillId="9" borderId="18" xfId="0" applyFont="1" applyFill="1" applyBorder="1" applyAlignment="1">
      <alignment horizontal="center" vertical="center" wrapText="1"/>
    </xf>
    <xf numFmtId="0" fontId="0" fillId="9" borderId="25" xfId="0" applyFill="1" applyBorder="1" applyAlignment="1">
      <alignment horizontal="center" vertical="center" wrapText="1"/>
    </xf>
    <xf numFmtId="0" fontId="0" fillId="9" borderId="16" xfId="0" applyFill="1" applyBorder="1" applyAlignment="1">
      <alignment horizontal="center" vertical="center" wrapText="1"/>
    </xf>
    <xf numFmtId="0" fontId="0" fillId="9" borderId="30" xfId="0" applyFill="1" applyBorder="1" applyAlignment="1">
      <alignment horizontal="center" vertical="center" wrapText="1"/>
    </xf>
    <xf numFmtId="0" fontId="0" fillId="9" borderId="22" xfId="0" applyFill="1" applyBorder="1" applyAlignment="1">
      <alignment horizontal="center" vertical="center" wrapText="1"/>
    </xf>
    <xf numFmtId="0" fontId="3" fillId="14" borderId="14" xfId="5" applyFont="1" applyBorder="1">
      <alignment horizontal="center" vertical="center" wrapText="1"/>
    </xf>
    <xf numFmtId="0" fontId="7" fillId="9" borderId="18" xfId="0" applyFont="1" applyFill="1" applyBorder="1" applyAlignment="1">
      <alignment horizontal="center" vertical="center"/>
    </xf>
    <xf numFmtId="0" fontId="0" fillId="9" borderId="18" xfId="0" applyFill="1" applyBorder="1" applyAlignment="1">
      <alignment wrapText="1"/>
    </xf>
    <xf numFmtId="0" fontId="24" fillId="9" borderId="14" xfId="0" applyFont="1" applyFill="1" applyBorder="1" applyAlignment="1">
      <alignment horizontal="center" vertical="center" wrapText="1"/>
    </xf>
    <xf numFmtId="0" fontId="24" fillId="9" borderId="17" xfId="1" applyFont="1" applyFill="1" applyBorder="1" applyAlignment="1">
      <alignment horizontal="center" vertical="center" wrapText="1"/>
    </xf>
    <xf numFmtId="0" fontId="24" fillId="9" borderId="18" xfId="1" applyFont="1" applyFill="1" applyBorder="1" applyAlignment="1">
      <alignment horizontal="center" vertical="center" wrapText="1"/>
    </xf>
    <xf numFmtId="0" fontId="24" fillId="9" borderId="17" xfId="0" applyFont="1" applyFill="1" applyBorder="1" applyAlignment="1">
      <alignment horizontal="center" vertical="center" wrapText="1"/>
    </xf>
    <xf numFmtId="0" fontId="24" fillId="9" borderId="17" xfId="3" applyFont="1" applyFill="1" applyBorder="1">
      <alignment horizontal="center" vertical="center" wrapText="1"/>
    </xf>
    <xf numFmtId="0" fontId="27" fillId="5" borderId="25" xfId="2" applyFont="1" applyFill="1" applyBorder="1" applyAlignment="1">
      <alignment horizontal="center" vertical="center" wrapText="1"/>
    </xf>
    <xf numFmtId="0" fontId="3" fillId="9" borderId="17" xfId="3" applyFont="1" applyFill="1" applyBorder="1">
      <alignment horizontal="center" vertical="center" wrapText="1"/>
    </xf>
    <xf numFmtId="0" fontId="3" fillId="9" borderId="17" xfId="5" applyFont="1" applyFill="1" applyBorder="1">
      <alignment horizontal="center" vertical="center" wrapText="1"/>
    </xf>
    <xf numFmtId="0" fontId="7" fillId="9" borderId="0" xfId="0" applyFont="1" applyFill="1" applyAlignment="1">
      <alignment horizontal="center" vertical="center"/>
    </xf>
    <xf numFmtId="0" fontId="20" fillId="9" borderId="14" xfId="1" applyFont="1" applyFill="1" applyBorder="1" applyAlignment="1">
      <alignment horizontal="center" vertical="center" wrapText="1"/>
    </xf>
    <xf numFmtId="0" fontId="0" fillId="0" borderId="18" xfId="0" applyBorder="1" applyAlignment="1">
      <alignment wrapText="1"/>
    </xf>
    <xf numFmtId="0" fontId="23" fillId="0" borderId="18" xfId="0" applyFont="1" applyBorder="1" applyAlignment="1">
      <alignment wrapText="1"/>
    </xf>
    <xf numFmtId="0" fontId="22" fillId="12" borderId="14" xfId="0" applyFont="1" applyFill="1" applyBorder="1" applyAlignment="1">
      <alignment horizontal="center" vertical="center" wrapText="1"/>
    </xf>
    <xf numFmtId="0" fontId="7" fillId="9" borderId="14" xfId="0" applyFont="1" applyFill="1" applyBorder="1" applyAlignment="1">
      <alignment horizontal="center" vertical="center"/>
    </xf>
    <xf numFmtId="0" fontId="28" fillId="14" borderId="17" xfId="5" applyFont="1" applyBorder="1">
      <alignment horizontal="center" vertical="center" wrapText="1"/>
    </xf>
    <xf numFmtId="0" fontId="12" fillId="14" borderId="17" xfId="4" applyFont="1" applyFill="1" applyBorder="1">
      <alignment horizontal="center" vertical="center" wrapText="1"/>
    </xf>
    <xf numFmtId="0" fontId="30" fillId="0" borderId="18" xfId="0" applyFont="1" applyBorder="1" applyAlignment="1">
      <alignment wrapText="1"/>
    </xf>
    <xf numFmtId="0" fontId="9" fillId="5" borderId="14" xfId="2" applyFont="1" applyFill="1" applyBorder="1" applyAlignment="1">
      <alignment horizontal="center" vertical="center" wrapText="1"/>
    </xf>
    <xf numFmtId="0" fontId="6" fillId="5" borderId="16" xfId="0" applyFont="1" applyFill="1" applyBorder="1" applyAlignment="1">
      <alignment horizontal="center" vertical="center" wrapText="1"/>
    </xf>
    <xf numFmtId="0" fontId="31" fillId="9" borderId="14" xfId="0" applyFont="1" applyFill="1" applyBorder="1" applyAlignment="1">
      <alignment horizontal="center" vertical="center" wrapText="1"/>
    </xf>
    <xf numFmtId="0" fontId="2" fillId="9" borderId="14" xfId="1" applyFill="1" applyBorder="1" applyAlignment="1">
      <alignment horizontal="center" vertical="center" wrapText="1"/>
    </xf>
    <xf numFmtId="0" fontId="23" fillId="9" borderId="0" xfId="0" applyFont="1" applyFill="1" applyAlignment="1">
      <alignment wrapText="1"/>
    </xf>
    <xf numFmtId="0" fontId="0" fillId="14" borderId="17" xfId="5" applyFont="1" applyBorder="1">
      <alignment horizontal="center" vertical="center" wrapText="1"/>
    </xf>
    <xf numFmtId="0" fontId="0" fillId="9" borderId="31" xfId="0" applyFill="1" applyBorder="1" applyAlignment="1">
      <alignment horizontal="center" vertical="center"/>
    </xf>
    <xf numFmtId="0" fontId="6" fillId="4" borderId="16" xfId="0" applyFont="1" applyFill="1" applyBorder="1" applyAlignment="1">
      <alignment horizontal="center" vertical="center"/>
    </xf>
    <xf numFmtId="0" fontId="12" fillId="10" borderId="20" xfId="0" applyFont="1" applyFill="1" applyBorder="1" applyAlignment="1">
      <alignment horizontal="center" vertical="center" wrapText="1"/>
    </xf>
    <xf numFmtId="0" fontId="3" fillId="14" borderId="28" xfId="5" applyFont="1" applyBorder="1">
      <alignment horizontal="center" vertical="center" wrapText="1"/>
    </xf>
    <xf numFmtId="0" fontId="2" fillId="9" borderId="31" xfId="1" applyFill="1" applyBorder="1" applyAlignment="1">
      <alignment horizontal="center" vertical="center" wrapText="1"/>
    </xf>
    <xf numFmtId="0" fontId="3" fillId="14" borderId="27" xfId="5" applyFont="1" applyBorder="1">
      <alignment horizontal="center" vertical="center" wrapText="1"/>
    </xf>
    <xf numFmtId="0" fontId="0" fillId="0" borderId="0" xfId="0" applyAlignment="1">
      <alignment horizontal="center" vertical="center"/>
    </xf>
    <xf numFmtId="0" fontId="3" fillId="14" borderId="0" xfId="5" applyFont="1" applyBorder="1">
      <alignment horizontal="center" vertical="center" wrapText="1"/>
    </xf>
    <xf numFmtId="0" fontId="14" fillId="9" borderId="17" xfId="5" applyFont="1" applyFill="1" applyBorder="1">
      <alignment horizontal="center" vertical="center" wrapText="1"/>
    </xf>
    <xf numFmtId="0" fontId="29" fillId="14" borderId="17" xfId="0" applyFont="1" applyFill="1" applyBorder="1" applyAlignment="1">
      <alignment vertical="center" wrapText="1"/>
    </xf>
    <xf numFmtId="0" fontId="32" fillId="0" borderId="18" xfId="0" applyFont="1" applyBorder="1" applyAlignment="1">
      <alignment wrapText="1"/>
    </xf>
    <xf numFmtId="0" fontId="33" fillId="9" borderId="18" xfId="0" applyFont="1" applyFill="1" applyBorder="1" applyAlignment="1">
      <alignment wrapText="1"/>
    </xf>
    <xf numFmtId="0" fontId="19" fillId="15" borderId="17" xfId="4" applyFont="1" applyFill="1" applyBorder="1">
      <alignment horizontal="center" vertical="center" wrapText="1"/>
    </xf>
    <xf numFmtId="0" fontId="24" fillId="9" borderId="17" xfId="5" applyFont="1" applyFill="1" applyBorder="1">
      <alignment horizontal="center" vertical="center" wrapText="1"/>
    </xf>
    <xf numFmtId="0" fontId="0" fillId="9" borderId="14" xfId="0" applyFill="1" applyBorder="1" applyAlignment="1">
      <alignment horizontal="center"/>
    </xf>
    <xf numFmtId="0" fontId="0" fillId="9" borderId="0" xfId="0" applyFill="1" applyAlignment="1">
      <alignment wrapText="1"/>
    </xf>
    <xf numFmtId="0" fontId="2" fillId="16" borderId="14" xfId="1" applyFill="1" applyBorder="1" applyAlignment="1">
      <alignment horizontal="center" vertical="center" wrapText="1"/>
    </xf>
    <xf numFmtId="0" fontId="1" fillId="14" borderId="14" xfId="1" applyFont="1" applyFill="1" applyBorder="1" applyAlignment="1">
      <alignment horizontal="center" vertical="center" wrapText="1"/>
    </xf>
    <xf numFmtId="0" fontId="2" fillId="12" borderId="14" xfId="1" applyFill="1" applyBorder="1" applyAlignment="1">
      <alignment horizontal="center" vertical="center" wrapText="1"/>
    </xf>
    <xf numFmtId="0" fontId="7" fillId="9" borderId="0" xfId="0" applyFont="1" applyFill="1" applyAlignment="1">
      <alignment horizontal="center" vertical="center" wrapText="1"/>
    </xf>
    <xf numFmtId="0" fontId="29" fillId="12" borderId="17" xfId="3" applyFont="1" applyBorder="1">
      <alignment horizontal="center" vertical="center" wrapText="1"/>
    </xf>
    <xf numFmtId="0" fontId="3" fillId="14" borderId="17" xfId="4" applyFont="1" applyFill="1" applyBorder="1">
      <alignment horizontal="center" vertical="center" wrapText="1"/>
    </xf>
    <xf numFmtId="0" fontId="34" fillId="9" borderId="18" xfId="0" applyFont="1" applyFill="1" applyBorder="1" applyAlignment="1">
      <alignment wrapText="1"/>
    </xf>
    <xf numFmtId="0" fontId="21" fillId="0" borderId="18" xfId="0" applyFont="1" applyBorder="1" applyAlignment="1">
      <alignment wrapText="1"/>
    </xf>
    <xf numFmtId="0" fontId="6" fillId="5" borderId="17" xfId="0" applyFont="1" applyFill="1" applyBorder="1" applyAlignment="1">
      <alignment horizontal="center" vertical="center" wrapText="1"/>
    </xf>
    <xf numFmtId="0" fontId="7" fillId="9" borderId="18" xfId="0" applyFont="1" applyFill="1" applyBorder="1" applyAlignment="1">
      <alignment horizontal="center" wrapText="1"/>
    </xf>
    <xf numFmtId="0" fontId="7" fillId="9" borderId="18" xfId="0" applyFont="1" applyFill="1" applyBorder="1" applyAlignment="1">
      <alignment horizontal="center"/>
    </xf>
    <xf numFmtId="0" fontId="29" fillId="14" borderId="14" xfId="1" applyFont="1" applyFill="1" applyBorder="1" applyAlignment="1">
      <alignment horizontal="center" vertical="center" wrapText="1"/>
    </xf>
    <xf numFmtId="0" fontId="20" fillId="16" borderId="18" xfId="1" applyFont="1" applyFill="1" applyBorder="1" applyAlignment="1">
      <alignment horizontal="center" vertical="center" wrapText="1"/>
    </xf>
    <xf numFmtId="0" fontId="29" fillId="12" borderId="14" xfId="1" applyFont="1" applyFill="1" applyBorder="1" applyAlignment="1">
      <alignment horizontal="center" vertical="center" wrapText="1"/>
    </xf>
    <xf numFmtId="0" fontId="2" fillId="9" borderId="0" xfId="1" applyFill="1" applyBorder="1" applyAlignment="1">
      <alignment horizontal="center" vertical="center" wrapText="1"/>
    </xf>
    <xf numFmtId="0" fontId="19" fillId="14" borderId="14" xfId="0" applyFont="1" applyFill="1" applyBorder="1" applyAlignment="1">
      <alignment horizontal="center" vertical="center" wrapText="1"/>
    </xf>
    <xf numFmtId="0" fontId="7" fillId="16" borderId="18" xfId="1" applyFont="1" applyFill="1" applyBorder="1" applyAlignment="1">
      <alignment horizontal="center" vertical="center" wrapText="1"/>
    </xf>
    <xf numFmtId="0" fontId="29" fillId="12" borderId="17" xfId="5" applyFont="1" applyFill="1" applyBorder="1">
      <alignment horizontal="center" vertical="center" wrapText="1"/>
    </xf>
    <xf numFmtId="0" fontId="4" fillId="0" borderId="18" xfId="2" applyBorder="1" applyAlignment="1">
      <alignment horizontal="center" vertical="center"/>
    </xf>
    <xf numFmtId="0" fontId="19" fillId="12" borderId="14" xfId="0" applyFont="1" applyFill="1" applyBorder="1" applyAlignment="1">
      <alignment horizontal="center" vertical="center" wrapText="1"/>
    </xf>
    <xf numFmtId="0" fontId="6" fillId="4" borderId="4" xfId="0" applyFont="1" applyFill="1" applyBorder="1" applyAlignment="1">
      <alignment horizontal="center" vertical="center"/>
    </xf>
    <xf numFmtId="0" fontId="6" fillId="4" borderId="5" xfId="0" applyFont="1" applyFill="1" applyBorder="1" applyAlignment="1">
      <alignment horizontal="center" vertical="center"/>
    </xf>
    <xf numFmtId="0" fontId="6" fillId="4" borderId="29" xfId="0" applyFont="1" applyFill="1" applyBorder="1" applyAlignment="1">
      <alignment horizontal="center" vertical="center"/>
    </xf>
    <xf numFmtId="0" fontId="6" fillId="5" borderId="22" xfId="0" applyFont="1" applyFill="1" applyBorder="1" applyAlignment="1">
      <alignment horizontal="center" vertical="center" wrapText="1"/>
    </xf>
    <xf numFmtId="0" fontId="9" fillId="5" borderId="22" xfId="2" applyFont="1" applyFill="1" applyBorder="1" applyAlignment="1">
      <alignment horizontal="center" vertical="center" wrapText="1"/>
    </xf>
    <xf numFmtId="0" fontId="6" fillId="5" borderId="23" xfId="0" applyFont="1" applyFill="1" applyBorder="1" applyAlignment="1">
      <alignment horizontal="center" vertical="center" wrapText="1"/>
    </xf>
    <xf numFmtId="0" fontId="20" fillId="16" borderId="0" xfId="1" applyFont="1" applyFill="1" applyBorder="1" applyAlignment="1">
      <alignment horizontal="center" vertical="center" wrapText="1"/>
    </xf>
    <xf numFmtId="0" fontId="0" fillId="15" borderId="17" xfId="5" applyFont="1" applyFill="1" applyBorder="1">
      <alignment horizontal="center" vertical="center" wrapText="1"/>
    </xf>
    <xf numFmtId="0" fontId="19" fillId="12" borderId="14" xfId="1" applyFont="1" applyFill="1" applyBorder="1" applyAlignment="1">
      <alignment horizontal="center" vertical="center" wrapText="1"/>
    </xf>
    <xf numFmtId="0" fontId="24" fillId="9" borderId="14" xfId="1" applyFont="1" applyFill="1" applyBorder="1" applyAlignment="1">
      <alignment horizontal="center" vertical="center" wrapText="1"/>
    </xf>
    <xf numFmtId="0" fontId="27" fillId="5" borderId="14" xfId="2" applyFont="1" applyFill="1" applyBorder="1" applyAlignment="1">
      <alignment horizontal="center" vertical="center" wrapText="1"/>
    </xf>
    <xf numFmtId="0" fontId="0" fillId="9" borderId="5" xfId="0" applyFill="1" applyBorder="1" applyAlignment="1">
      <alignment horizontal="center" vertical="center" wrapText="1"/>
    </xf>
    <xf numFmtId="0" fontId="20" fillId="9" borderId="6" xfId="1" applyFont="1" applyFill="1" applyBorder="1" applyAlignment="1">
      <alignment horizontal="center" vertical="center" wrapText="1"/>
    </xf>
    <xf numFmtId="0" fontId="3" fillId="14" borderId="4" xfId="5" applyFont="1" applyBorder="1">
      <alignment horizontal="center" vertical="center" wrapText="1"/>
    </xf>
    <xf numFmtId="0" fontId="2" fillId="16" borderId="5" xfId="1" applyFill="1" applyBorder="1" applyAlignment="1">
      <alignment horizontal="center" vertical="center" wrapText="1"/>
    </xf>
    <xf numFmtId="0" fontId="35" fillId="0" borderId="0" xfId="0" applyFont="1"/>
    <xf numFmtId="0" fontId="36" fillId="5" borderId="31" xfId="0" applyFont="1" applyFill="1" applyBorder="1" applyAlignment="1">
      <alignment horizontal="center" vertical="center" wrapText="1"/>
    </xf>
    <xf numFmtId="0" fontId="12" fillId="5" borderId="14" xfId="0" applyFont="1" applyFill="1" applyBorder="1" applyAlignment="1">
      <alignment horizontal="center" vertical="center" wrapText="1"/>
    </xf>
    <xf numFmtId="0" fontId="12" fillId="5" borderId="31" xfId="0" applyFont="1" applyFill="1" applyBorder="1" applyAlignment="1">
      <alignment horizontal="center" vertical="center" wrapText="1"/>
    </xf>
    <xf numFmtId="0" fontId="29" fillId="9" borderId="14" xfId="1" applyFont="1" applyFill="1" applyBorder="1" applyAlignment="1">
      <alignment horizontal="center" vertical="center" wrapText="1"/>
    </xf>
    <xf numFmtId="0" fontId="3" fillId="9" borderId="14" xfId="0" applyFont="1" applyFill="1" applyBorder="1" applyAlignment="1">
      <alignment horizontal="center" vertical="center" wrapText="1"/>
    </xf>
    <xf numFmtId="0" fontId="24" fillId="12" borderId="14" xfId="3" applyFont="1" applyBorder="1">
      <alignment horizontal="center" vertical="center" wrapText="1"/>
    </xf>
    <xf numFmtId="0" fontId="7" fillId="0" borderId="0" xfId="0" applyFont="1"/>
    <xf numFmtId="0" fontId="11" fillId="9" borderId="8" xfId="0" applyFont="1" applyFill="1" applyBorder="1" applyAlignment="1">
      <alignment vertical="center" wrapText="1"/>
    </xf>
    <xf numFmtId="0" fontId="11" fillId="9" borderId="9" xfId="0" applyFont="1" applyFill="1" applyBorder="1" applyAlignment="1">
      <alignment vertical="center" wrapText="1"/>
    </xf>
    <xf numFmtId="0" fontId="11" fillId="9" borderId="0" xfId="0" applyFont="1" applyFill="1" applyAlignment="1">
      <alignment vertical="center" wrapText="1"/>
    </xf>
    <xf numFmtId="0" fontId="11" fillId="9" borderId="11" xfId="0" applyFont="1" applyFill="1" applyBorder="1" applyAlignment="1">
      <alignment vertical="center" wrapText="1"/>
    </xf>
    <xf numFmtId="0" fontId="11" fillId="9" borderId="12" xfId="0" applyFont="1" applyFill="1" applyBorder="1" applyAlignment="1">
      <alignment vertical="center" wrapText="1"/>
    </xf>
    <xf numFmtId="0" fontId="11" fillId="9" borderId="13" xfId="0" applyFont="1" applyFill="1" applyBorder="1" applyAlignment="1">
      <alignment vertical="center" wrapText="1"/>
    </xf>
    <xf numFmtId="0" fontId="11" fillId="9" borderId="14" xfId="0" applyFont="1" applyFill="1" applyBorder="1" applyAlignment="1">
      <alignment vertical="center" wrapText="1"/>
    </xf>
    <xf numFmtId="0" fontId="11" fillId="9" borderId="18" xfId="0" applyFont="1" applyFill="1" applyBorder="1" applyAlignment="1">
      <alignment vertical="center" wrapText="1"/>
    </xf>
    <xf numFmtId="0" fontId="6" fillId="9" borderId="0" xfId="0" applyFont="1" applyFill="1"/>
    <xf numFmtId="0" fontId="6" fillId="9" borderId="14" xfId="0" applyFont="1" applyFill="1" applyBorder="1"/>
    <xf numFmtId="0" fontId="0" fillId="9" borderId="0" xfId="0" applyFill="1"/>
    <xf numFmtId="0" fontId="7" fillId="9" borderId="18" xfId="0" applyFont="1" applyFill="1" applyBorder="1"/>
    <xf numFmtId="0" fontId="6" fillId="9" borderId="17" xfId="0" applyFont="1" applyFill="1" applyBorder="1"/>
    <xf numFmtId="0" fontId="6" fillId="9" borderId="18" xfId="0" applyFont="1" applyFill="1" applyBorder="1"/>
    <xf numFmtId="0" fontId="0" fillId="9" borderId="0" xfId="0" applyFill="1" applyAlignment="1">
      <alignment horizontal="center" vertical="center"/>
    </xf>
    <xf numFmtId="0" fontId="6" fillId="9" borderId="17" xfId="0" applyFont="1" applyFill="1" applyBorder="1" applyAlignment="1">
      <alignment horizontal="center" vertical="center" wrapText="1"/>
    </xf>
    <xf numFmtId="0" fontId="6" fillId="9" borderId="18" xfId="0" applyFont="1" applyFill="1" applyBorder="1" applyAlignment="1">
      <alignment horizontal="center" vertical="center" wrapText="1"/>
    </xf>
    <xf numFmtId="0" fontId="35" fillId="9" borderId="0" xfId="0" applyFont="1" applyFill="1"/>
    <xf numFmtId="0" fontId="7" fillId="9" borderId="0" xfId="0" applyFont="1" applyFill="1"/>
    <xf numFmtId="0" fontId="12" fillId="9" borderId="0" xfId="0" applyFont="1" applyFill="1" applyAlignment="1">
      <alignment wrapText="1"/>
    </xf>
    <xf numFmtId="0" fontId="12" fillId="9" borderId="0" xfId="0" applyFont="1" applyFill="1"/>
    <xf numFmtId="0" fontId="0" fillId="9" borderId="14" xfId="0" applyFill="1" applyBorder="1"/>
    <xf numFmtId="0" fontId="12" fillId="9" borderId="14" xfId="0" applyFont="1" applyFill="1" applyBorder="1"/>
    <xf numFmtId="0" fontId="11" fillId="8" borderId="26" xfId="0" applyFont="1" applyFill="1" applyBorder="1" applyAlignment="1">
      <alignment horizontal="center" vertical="center" wrapText="1"/>
    </xf>
    <xf numFmtId="0" fontId="11" fillId="8" borderId="34" xfId="0" applyFont="1" applyFill="1" applyBorder="1" applyAlignment="1">
      <alignment horizontal="center" vertical="center" wrapText="1"/>
    </xf>
    <xf numFmtId="0" fontId="11" fillId="8" borderId="15" xfId="0" applyFont="1" applyFill="1" applyBorder="1" applyAlignment="1">
      <alignment horizontal="center" vertical="center" wrapText="1"/>
    </xf>
    <xf numFmtId="0" fontId="11" fillId="8" borderId="19" xfId="0" applyFont="1" applyFill="1" applyBorder="1" applyAlignment="1">
      <alignment horizontal="center" vertical="center" wrapText="1"/>
    </xf>
    <xf numFmtId="0" fontId="11" fillId="8" borderId="23" xfId="0" applyFont="1" applyFill="1" applyBorder="1" applyAlignment="1">
      <alignment horizontal="center" vertical="center" wrapText="1"/>
    </xf>
    <xf numFmtId="0" fontId="11" fillId="8" borderId="21" xfId="0" applyFont="1" applyFill="1" applyBorder="1" applyAlignment="1">
      <alignment horizontal="center" vertical="center" wrapText="1"/>
    </xf>
    <xf numFmtId="0" fontId="11" fillId="8" borderId="35" xfId="0" applyFont="1" applyFill="1" applyBorder="1" applyAlignment="1">
      <alignment horizontal="center" vertical="center" wrapText="1"/>
    </xf>
    <xf numFmtId="0" fontId="11" fillId="8" borderId="10" xfId="0" applyFont="1" applyFill="1" applyBorder="1" applyAlignment="1">
      <alignment horizontal="center" vertical="center" wrapText="1"/>
    </xf>
    <xf numFmtId="0" fontId="11" fillId="8" borderId="36" xfId="0" applyFont="1" applyFill="1" applyBorder="1" applyAlignment="1">
      <alignment horizontal="center" vertical="center" wrapText="1"/>
    </xf>
    <xf numFmtId="0" fontId="10" fillId="6" borderId="17" xfId="0" applyFont="1" applyFill="1" applyBorder="1" applyAlignment="1">
      <alignment horizontal="center" vertical="center" wrapText="1"/>
    </xf>
    <xf numFmtId="0" fontId="10" fillId="6" borderId="14" xfId="0" applyFont="1" applyFill="1" applyBorder="1" applyAlignment="1">
      <alignment horizontal="center" vertical="center" wrapText="1"/>
    </xf>
    <xf numFmtId="0" fontId="10" fillId="6" borderId="18" xfId="0" applyFont="1" applyFill="1" applyBorder="1" applyAlignment="1">
      <alignment horizontal="center" vertical="center" wrapText="1"/>
    </xf>
    <xf numFmtId="0" fontId="5" fillId="3" borderId="23" xfId="0" applyFont="1" applyFill="1" applyBorder="1" applyAlignment="1">
      <alignment horizontal="center" vertical="center"/>
    </xf>
    <xf numFmtId="0" fontId="5" fillId="3" borderId="32" xfId="0" applyFont="1" applyFill="1" applyBorder="1" applyAlignment="1">
      <alignment horizontal="center" vertical="center"/>
    </xf>
    <xf numFmtId="0" fontId="5" fillId="3" borderId="33" xfId="0" applyFont="1" applyFill="1" applyBorder="1" applyAlignment="1">
      <alignment horizontal="center" vertical="center"/>
    </xf>
    <xf numFmtId="0" fontId="10" fillId="7" borderId="17" xfId="0" applyFont="1" applyFill="1" applyBorder="1" applyAlignment="1">
      <alignment horizontal="center" vertical="center"/>
    </xf>
    <xf numFmtId="0" fontId="10" fillId="7" borderId="18" xfId="0" applyFont="1" applyFill="1" applyBorder="1" applyAlignment="1">
      <alignment horizontal="center" vertical="center"/>
    </xf>
    <xf numFmtId="0" fontId="5" fillId="3" borderId="0" xfId="0" applyFont="1" applyFill="1" applyAlignment="1">
      <alignment horizontal="center" vertical="center"/>
    </xf>
    <xf numFmtId="0" fontId="10" fillId="6" borderId="7" xfId="0" applyFont="1" applyFill="1" applyBorder="1" applyAlignment="1">
      <alignment horizontal="center" vertical="center" wrapText="1"/>
    </xf>
    <xf numFmtId="0" fontId="10" fillId="6" borderId="8" xfId="0" applyFont="1" applyFill="1" applyBorder="1" applyAlignment="1">
      <alignment horizontal="center" vertical="center" wrapText="1"/>
    </xf>
    <xf numFmtId="0" fontId="10" fillId="6" borderId="9" xfId="0" applyFont="1" applyFill="1" applyBorder="1" applyAlignment="1">
      <alignment horizontal="center" vertical="center" wrapText="1"/>
    </xf>
    <xf numFmtId="0" fontId="10" fillId="6" borderId="10" xfId="0" applyFont="1" applyFill="1" applyBorder="1" applyAlignment="1">
      <alignment horizontal="center" vertical="center" wrapText="1"/>
    </xf>
    <xf numFmtId="0" fontId="10" fillId="6" borderId="0" xfId="0" applyFont="1" applyFill="1" applyAlignment="1">
      <alignment horizontal="center" vertical="center" wrapText="1"/>
    </xf>
    <xf numFmtId="0" fontId="10" fillId="6" borderId="11" xfId="0" applyFont="1" applyFill="1" applyBorder="1" applyAlignment="1">
      <alignment horizontal="center" vertical="center" wrapText="1"/>
    </xf>
    <xf numFmtId="0" fontId="11" fillId="8" borderId="8" xfId="0" applyFont="1" applyFill="1" applyBorder="1" applyAlignment="1">
      <alignment horizontal="center" vertical="center" wrapText="1"/>
    </xf>
    <xf numFmtId="0" fontId="11" fillId="8" borderId="0" xfId="0" applyFont="1" applyFill="1" applyAlignment="1">
      <alignment horizontal="center" vertical="center" wrapText="1"/>
    </xf>
  </cellXfs>
  <cellStyles count="6">
    <cellStyle name="Bad" xfId="1" builtinId="27"/>
    <cellStyle name="EX" xfId="5" xr:uid="{06170AAE-F8F0-45D8-952E-43CC262FC115}"/>
    <cellStyle name="Hyperlink" xfId="2" builtinId="8"/>
    <cellStyle name="IN" xfId="3" xr:uid="{8D4A2D4B-41EE-4D1B-8A87-D388FDC76FF6}"/>
    <cellStyle name="NC" xfId="4" xr:uid="{3CC153FD-F7AE-4D64-AB66-A6AB4D7D79AE}"/>
    <cellStyle name="Normal" xfId="0" builtinId="0"/>
  </cellStyles>
  <dxfs count="152">
    <dxf>
      <font>
        <b/>
        <i val="0"/>
        <strike val="0"/>
        <condense val="0"/>
        <extend val="0"/>
        <outline val="0"/>
        <shadow val="0"/>
        <u val="none"/>
        <vertAlign val="baseline"/>
        <sz val="12"/>
        <color theme="0"/>
        <name val="Calibri"/>
        <family val="2"/>
        <scheme val="minor"/>
      </font>
      <fill>
        <patternFill patternType="solid">
          <fgColor indexed="64"/>
          <bgColor theme="0"/>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2"/>
        <color theme="0"/>
        <name val="Calibri"/>
        <family val="2"/>
        <scheme val="minor"/>
      </font>
      <fill>
        <patternFill patternType="solid">
          <fgColor indexed="64"/>
          <bgColor theme="0"/>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0"/>
      </font>
      <fill>
        <patternFill>
          <bgColor theme="0"/>
        </patternFill>
      </fill>
      <alignment horizontal="center" textRotation="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numFmt numFmtId="0" formatCode="General"/>
      <fill>
        <patternFill>
          <bgColor theme="0"/>
        </patternFill>
      </fill>
      <alignment horizontal="center" textRotation="0" indent="0" justifyLastLine="0" shrinkToFit="0" readingOrder="0"/>
      <border diagonalUp="0" diagonalDown="0">
        <left style="thin">
          <color indexed="64"/>
        </left>
        <right style="thin">
          <color indexed="64"/>
        </right>
        <top style="thin">
          <color indexed="64"/>
        </top>
        <bottom style="thin">
          <color indexed="64"/>
        </bottom>
      </border>
    </dxf>
    <dxf>
      <border outline="0">
        <left style="medium">
          <color indexed="64"/>
        </left>
        <right style="thin">
          <color theme="1"/>
        </right>
      </border>
    </dxf>
    <dxf>
      <font>
        <b/>
        <i val="0"/>
        <strike val="0"/>
        <condense val="0"/>
        <extend val="0"/>
        <outline val="0"/>
        <shadow val="0"/>
        <u val="none"/>
        <vertAlign val="baseline"/>
        <sz val="12"/>
        <color theme="0"/>
        <name val="Calibri"/>
        <family val="2"/>
        <scheme val="minor"/>
      </font>
      <fill>
        <patternFill patternType="solid">
          <fgColor theme="1"/>
          <bgColor theme="0"/>
        </patternFill>
      </fill>
      <alignment horizontal="center" vertical="center" textRotation="0" wrapText="1" indent="0" justifyLastLine="0" shrinkToFit="0" readingOrder="0"/>
    </dxf>
    <dxf>
      <font>
        <b val="0"/>
        <i val="0"/>
        <strike val="0"/>
        <condense val="0"/>
        <extend val="0"/>
        <outline val="0"/>
        <shadow val="0"/>
        <u val="none"/>
        <vertAlign val="baseline"/>
        <sz val="12"/>
        <color theme="1"/>
        <name val="Calibri"/>
        <family val="2"/>
        <scheme val="minor"/>
      </font>
      <fill>
        <patternFill>
          <fgColor indexed="64"/>
          <bgColor theme="1"/>
        </patternFill>
      </fill>
      <alignment horizontal="center" vertical="center" textRotation="0" wrapText="1" indent="0" justifyLastLine="0" shrinkToFit="0" readingOrder="0"/>
    </dxf>
    <dxf>
      <font>
        <b/>
        <i val="0"/>
        <strike val="0"/>
        <condense val="0"/>
        <extend val="0"/>
        <outline val="0"/>
        <shadow val="0"/>
        <u val="none"/>
        <vertAlign val="baseline"/>
        <sz val="12"/>
        <color theme="0"/>
        <name val="Calibri"/>
        <family val="2"/>
        <scheme val="minor"/>
      </font>
      <fill>
        <patternFill patternType="solid">
          <fgColor indexed="64"/>
          <bgColor theme="0"/>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2"/>
        <color theme="0"/>
        <name val="Calibri"/>
        <family val="2"/>
        <scheme val="minor"/>
      </font>
      <fill>
        <patternFill patternType="solid">
          <fgColor indexed="64"/>
          <bgColor theme="0"/>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0"/>
      </font>
      <fill>
        <patternFill>
          <bgColor theme="0"/>
        </patternFill>
      </fill>
      <alignment horizontal="center" textRotation="0" indent="0" justifyLastLine="0" shrinkToFit="0" readingOrder="0"/>
      <border diagonalUp="0" diagonalDown="0" outline="0">
        <left style="thin">
          <color indexed="64"/>
        </left>
        <right style="thin">
          <color indexed="64"/>
        </right>
        <top style="thin">
          <color indexed="64"/>
        </top>
        <bottom style="thin">
          <color indexed="64"/>
        </bottom>
      </border>
    </dxf>
    <dxf>
      <fill>
        <patternFill>
          <bgColor theme="0"/>
        </patternFill>
      </fill>
      <alignment horizontal="center" textRotation="0" indent="0" justifyLastLine="0" shrinkToFit="0" readingOrder="0"/>
      <border diagonalUp="0" diagonalDown="0" outline="0">
        <left style="thin">
          <color indexed="64"/>
        </left>
        <right style="thin">
          <color indexed="64"/>
        </right>
        <top style="thin">
          <color indexed="64"/>
        </top>
        <bottom style="thin">
          <color indexed="64"/>
        </bottom>
      </border>
    </dxf>
    <dxf>
      <fill>
        <patternFill>
          <bgColor theme="0"/>
        </patternFill>
      </fill>
      <alignment horizontal="center" textRotation="0" indent="0" justifyLastLine="0" shrinkToFit="0" readingOrder="0"/>
      <border diagonalUp="0" diagonalDown="0" outline="0">
        <left style="thin">
          <color indexed="64"/>
        </left>
        <right style="thin">
          <color indexed="64"/>
        </right>
        <top style="thin">
          <color indexed="64"/>
        </top>
        <bottom style="thin">
          <color indexed="64"/>
        </bottom>
      </border>
    </dxf>
    <dxf>
      <fill>
        <patternFill>
          <bgColor theme="0"/>
        </patternFill>
      </fill>
      <alignment horizontal="center" textRotation="0" indent="0" justifyLastLine="0" shrinkToFit="0" readingOrder="0"/>
      <border diagonalUp="0" diagonalDown="0" outline="0">
        <left style="thin">
          <color indexed="64"/>
        </left>
        <right style="thin">
          <color indexed="64"/>
        </right>
        <top style="thin">
          <color indexed="64"/>
        </top>
        <bottom style="thin">
          <color indexed="64"/>
        </bottom>
      </border>
    </dxf>
    <dxf>
      <fill>
        <patternFill>
          <bgColor theme="0"/>
        </patternFill>
      </fill>
      <alignment horizontal="center" textRotation="0" indent="0" justifyLastLine="0" shrinkToFit="0" readingOrder="0"/>
      <border diagonalUp="0" diagonalDown="0" outline="0">
        <left style="thin">
          <color indexed="64"/>
        </left>
        <right style="thin">
          <color indexed="64"/>
        </right>
        <top style="thin">
          <color indexed="64"/>
        </top>
        <bottom style="thin">
          <color indexed="64"/>
        </bottom>
      </border>
    </dxf>
    <dxf>
      <border outline="0">
        <left style="medium">
          <color indexed="64"/>
        </left>
        <right style="thin">
          <color theme="1"/>
        </right>
      </border>
    </dxf>
    <dxf>
      <font>
        <b/>
        <i val="0"/>
        <strike val="0"/>
        <condense val="0"/>
        <extend val="0"/>
        <outline val="0"/>
        <shadow val="0"/>
        <u val="none"/>
        <vertAlign val="baseline"/>
        <sz val="12"/>
        <color theme="0"/>
        <name val="Calibri"/>
        <family val="2"/>
        <scheme val="minor"/>
      </font>
      <fill>
        <patternFill patternType="solid">
          <fgColor theme="1"/>
          <bgColor theme="0"/>
        </patternFill>
      </fill>
      <alignment horizontal="center" vertical="center" textRotation="0" wrapText="1" indent="0" justifyLastLine="0" shrinkToFit="0" readingOrder="0"/>
    </dxf>
    <dxf>
      <font>
        <b val="0"/>
        <i val="0"/>
        <strike val="0"/>
        <condense val="0"/>
        <extend val="0"/>
        <outline val="0"/>
        <shadow val="0"/>
        <u val="none"/>
        <vertAlign val="baseline"/>
        <sz val="12"/>
        <color theme="1"/>
        <name val="Calibri"/>
        <family val="2"/>
        <scheme val="minor"/>
      </font>
      <fill>
        <patternFill>
          <fgColor indexed="64"/>
          <bgColor theme="1"/>
        </patternFill>
      </fill>
      <alignment horizontal="center" vertical="center" textRotation="0" wrapText="1" indent="0" justifyLastLine="0" shrinkToFit="0" readingOrder="0"/>
    </dxf>
    <dxf>
      <font>
        <b/>
        <i val="0"/>
        <strike val="0"/>
        <condense val="0"/>
        <extend val="0"/>
        <outline val="0"/>
        <shadow val="0"/>
        <u val="none"/>
        <vertAlign val="baseline"/>
        <sz val="12"/>
        <color theme="0"/>
        <name val="Calibri"/>
        <family val="2"/>
        <scheme val="minor"/>
      </font>
      <fill>
        <patternFill patternType="solid">
          <fgColor indexed="64"/>
          <bgColor theme="0"/>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i val="0"/>
        <strike val="0"/>
        <condense val="0"/>
        <extend val="0"/>
        <outline val="0"/>
        <shadow val="0"/>
        <u val="none"/>
        <vertAlign val="baseline"/>
        <sz val="12"/>
        <color theme="0"/>
        <name val="Calibri"/>
        <family val="2"/>
        <scheme val="minor"/>
      </font>
      <fill>
        <patternFill patternType="solid">
          <fgColor indexed="64"/>
          <bgColor theme="0"/>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i val="0"/>
        <strike val="0"/>
        <condense val="0"/>
        <extend val="0"/>
        <outline val="0"/>
        <shadow val="0"/>
        <u val="none"/>
        <vertAlign val="baseline"/>
        <sz val="10"/>
        <color theme="0"/>
        <name val="Calibri"/>
        <family val="2"/>
        <scheme val="minor"/>
      </font>
      <fill>
        <patternFill patternType="solid">
          <fgColor theme="1"/>
          <bgColor theme="0"/>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2"/>
        <color theme="0"/>
        <name val="Calibri"/>
        <family val="2"/>
        <scheme val="minor"/>
      </font>
      <fill>
        <patternFill patternType="solid">
          <fgColor theme="1"/>
          <bgColor theme="0"/>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i val="0"/>
        <strike val="0"/>
        <condense val="0"/>
        <extend val="0"/>
        <outline val="0"/>
        <shadow val="0"/>
        <u val="none"/>
        <vertAlign val="baseline"/>
        <sz val="12"/>
        <color theme="0"/>
        <name val="Calibri"/>
        <family val="2"/>
        <scheme val="minor"/>
      </font>
      <fill>
        <patternFill patternType="solid">
          <fgColor theme="1"/>
          <bgColor theme="0"/>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i val="0"/>
        <strike val="0"/>
        <condense val="0"/>
        <extend val="0"/>
        <outline val="0"/>
        <shadow val="0"/>
        <u val="none"/>
        <vertAlign val="baseline"/>
        <sz val="12"/>
        <color theme="0"/>
        <name val="Calibri"/>
        <family val="2"/>
        <scheme val="minor"/>
      </font>
      <fill>
        <patternFill patternType="solid">
          <fgColor theme="1"/>
          <bgColor theme="0"/>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i val="0"/>
        <strike val="0"/>
        <condense val="0"/>
        <extend val="0"/>
        <outline val="0"/>
        <shadow val="0"/>
        <u val="none"/>
        <vertAlign val="baseline"/>
        <sz val="12"/>
        <color theme="0"/>
        <name val="Calibri"/>
        <family val="2"/>
        <scheme val="minor"/>
      </font>
      <fill>
        <patternFill patternType="solid">
          <fgColor theme="1"/>
          <bgColor theme="0"/>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outline="0">
        <left style="medium">
          <color indexed="64"/>
        </left>
        <right style="thin">
          <color theme="1"/>
        </right>
      </border>
    </dxf>
    <dxf>
      <font>
        <b/>
        <i val="0"/>
        <strike val="0"/>
        <condense val="0"/>
        <extend val="0"/>
        <outline val="0"/>
        <shadow val="0"/>
        <u val="none"/>
        <vertAlign val="baseline"/>
        <sz val="12"/>
        <color theme="0"/>
        <name val="Calibri"/>
        <family val="2"/>
        <scheme val="minor"/>
      </font>
      <fill>
        <patternFill patternType="solid">
          <fgColor theme="1"/>
          <bgColor theme="0"/>
        </patternFill>
      </fill>
      <alignment horizontal="center" vertical="center" textRotation="0" wrapText="1" indent="0" justifyLastLine="0" shrinkToFit="0" readingOrder="0"/>
    </dxf>
    <dxf>
      <font>
        <b val="0"/>
        <i val="0"/>
        <strike val="0"/>
        <condense val="0"/>
        <extend val="0"/>
        <outline val="0"/>
        <shadow val="0"/>
        <u val="none"/>
        <vertAlign val="baseline"/>
        <sz val="12"/>
        <color theme="1"/>
        <name val="Calibri"/>
        <family val="2"/>
        <scheme val="minor"/>
      </font>
      <fill>
        <patternFill>
          <fgColor indexed="64"/>
          <bgColor theme="1"/>
        </patternFill>
      </fill>
      <alignment horizontal="center" vertical="center" textRotation="0" wrapText="1" indent="0" justifyLastLine="0" shrinkToFit="0" readingOrder="0"/>
    </dxf>
    <dxf>
      <font>
        <b/>
        <i val="0"/>
        <strike val="0"/>
        <condense val="0"/>
        <extend val="0"/>
        <outline val="0"/>
        <shadow val="0"/>
        <u val="none"/>
        <vertAlign val="baseline"/>
        <sz val="12"/>
        <color theme="0"/>
        <name val="Calibri"/>
        <family val="2"/>
        <scheme val="minor"/>
      </font>
      <fill>
        <patternFill patternType="solid">
          <fgColor indexed="64"/>
          <bgColor theme="1"/>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i val="0"/>
        <strike val="0"/>
        <condense val="0"/>
        <extend val="0"/>
        <outline val="0"/>
        <shadow val="0"/>
        <u val="none"/>
        <vertAlign val="baseline"/>
        <sz val="12"/>
        <color theme="0"/>
        <name val="Calibri"/>
        <family val="2"/>
        <scheme val="minor"/>
      </font>
      <fill>
        <patternFill patternType="solid">
          <fgColor indexed="64"/>
          <bgColor theme="1"/>
        </patternFill>
      </fill>
      <alignment horizontal="center" vertical="center" textRotation="0" wrapText="1" indent="0" justifyLastLine="0" shrinkToFit="0" readingOrder="0"/>
      <border diagonalUp="0" diagonalDown="0">
        <left style="medium">
          <color indexed="64"/>
        </left>
        <right style="thin">
          <color indexed="64"/>
        </right>
        <top style="thin">
          <color indexed="64"/>
        </top>
        <bottom style="thin">
          <color indexed="64"/>
        </bottom>
        <vertical style="thin">
          <color indexed="64"/>
        </vertical>
        <horizontal style="thin">
          <color indexed="64"/>
        </horizontal>
      </border>
    </dxf>
    <dxf>
      <font>
        <b/>
        <i val="0"/>
        <strike val="0"/>
        <condense val="0"/>
        <extend val="0"/>
        <outline val="0"/>
        <shadow val="0"/>
        <u val="none"/>
        <vertAlign val="baseline"/>
        <sz val="10"/>
        <color theme="0"/>
        <name val="Calibri"/>
        <family val="2"/>
        <scheme val="minor"/>
      </font>
      <fill>
        <patternFill patternType="solid">
          <fgColor theme="1"/>
          <bgColor theme="1"/>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2"/>
        <color theme="0"/>
        <name val="Calibri"/>
        <family val="2"/>
        <scheme val="minor"/>
      </font>
      <fill>
        <patternFill patternType="solid">
          <fgColor theme="1"/>
          <bgColor theme="1"/>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i val="0"/>
        <strike val="0"/>
        <condense val="0"/>
        <extend val="0"/>
        <outline val="0"/>
        <shadow val="0"/>
        <u val="none"/>
        <vertAlign val="baseline"/>
        <sz val="12"/>
        <color theme="0"/>
        <name val="Calibri"/>
        <family val="2"/>
        <scheme val="minor"/>
      </font>
      <fill>
        <patternFill patternType="solid">
          <fgColor theme="1"/>
          <bgColor theme="1"/>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i val="0"/>
        <strike val="0"/>
        <condense val="0"/>
        <extend val="0"/>
        <outline val="0"/>
        <shadow val="0"/>
        <u val="none"/>
        <vertAlign val="baseline"/>
        <sz val="12"/>
        <color theme="0"/>
        <name val="Calibri"/>
        <family val="2"/>
        <scheme val="minor"/>
      </font>
      <fill>
        <patternFill patternType="solid">
          <fgColor theme="1"/>
          <bgColor theme="1"/>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i val="0"/>
        <strike val="0"/>
        <condense val="0"/>
        <extend val="0"/>
        <outline val="0"/>
        <shadow val="0"/>
        <u val="none"/>
        <vertAlign val="baseline"/>
        <sz val="12"/>
        <color theme="0"/>
        <name val="Calibri"/>
        <family val="2"/>
        <scheme val="minor"/>
      </font>
      <fill>
        <patternFill patternType="solid">
          <fgColor theme="1"/>
          <bgColor theme="1"/>
        </patternFill>
      </fill>
      <alignment horizontal="center" vertical="center" textRotation="0" wrapText="1" indent="0" justifyLastLine="0" shrinkToFit="0" readingOrder="0"/>
      <border diagonalUp="0" diagonalDown="0">
        <left style="medium">
          <color indexed="64"/>
        </left>
        <right style="thin">
          <color indexed="64"/>
        </right>
        <top style="thin">
          <color indexed="64"/>
        </top>
        <bottom style="thin">
          <color indexed="64"/>
        </bottom>
        <vertical style="thin">
          <color indexed="64"/>
        </vertical>
        <horizontal style="thin">
          <color indexed="64"/>
        </horizontal>
      </border>
    </dxf>
    <dxf>
      <border outline="0">
        <left style="medium">
          <color indexed="64"/>
        </left>
        <right style="thin">
          <color theme="1"/>
        </right>
      </border>
    </dxf>
    <dxf>
      <font>
        <b/>
        <i val="0"/>
        <strike val="0"/>
        <condense val="0"/>
        <extend val="0"/>
        <outline val="0"/>
        <shadow val="0"/>
        <u val="none"/>
        <vertAlign val="baseline"/>
        <sz val="12"/>
        <color theme="0"/>
        <name val="Calibri"/>
        <family val="2"/>
        <scheme val="minor"/>
      </font>
      <fill>
        <patternFill patternType="solid">
          <fgColor theme="1"/>
          <bgColor theme="1"/>
        </patternFill>
      </fill>
      <alignment horizontal="center" vertical="center" textRotation="0" wrapText="1" indent="0" justifyLastLine="0" shrinkToFit="0" readingOrder="0"/>
    </dxf>
    <dxf>
      <font>
        <b val="0"/>
        <i val="0"/>
        <strike val="0"/>
        <condense val="0"/>
        <extend val="0"/>
        <outline val="0"/>
        <shadow val="0"/>
        <u val="none"/>
        <vertAlign val="baseline"/>
        <sz val="12"/>
        <color theme="1"/>
        <name val="Calibri"/>
        <family val="2"/>
        <scheme val="minor"/>
      </font>
      <fill>
        <patternFill>
          <fgColor indexed="64"/>
          <bgColor theme="1"/>
        </patternFill>
      </fill>
      <alignment horizontal="center" vertical="center" textRotation="0" wrapText="1" indent="0" justifyLastLine="0" shrinkToFit="0" readingOrder="0"/>
    </dxf>
    <dxf>
      <font>
        <b/>
        <i val="0"/>
        <strike val="0"/>
        <condense val="0"/>
        <extend val="0"/>
        <outline val="0"/>
        <shadow val="0"/>
        <u val="none"/>
        <vertAlign val="baseline"/>
        <sz val="12"/>
        <color theme="0"/>
        <name val="Calibri"/>
        <family val="2"/>
        <scheme val="minor"/>
      </font>
      <fill>
        <patternFill patternType="solid">
          <fgColor indexed="64"/>
          <bgColor theme="0"/>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i val="0"/>
        <strike val="0"/>
        <condense val="0"/>
        <extend val="0"/>
        <outline val="0"/>
        <shadow val="0"/>
        <u val="none"/>
        <vertAlign val="baseline"/>
        <sz val="12"/>
        <color theme="0"/>
        <name val="Calibri"/>
        <family val="2"/>
        <scheme val="minor"/>
      </font>
      <fill>
        <patternFill patternType="solid">
          <fgColor indexed="64"/>
          <bgColor theme="0"/>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0"/>
      </font>
      <fill>
        <patternFill patternType="solid">
          <bgColor theme="0"/>
        </patternFill>
      </fill>
      <alignment horizontal="center" vertical="center" textRotation="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bgColor theme="0"/>
        </patternFill>
      </fill>
      <alignment horizontal="center" textRotation="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0"/>
        </patternFill>
      </fill>
      <alignment horizontal="center" textRotation="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0"/>
        </patternFill>
      </fill>
      <alignment horizontal="center" textRotation="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0"/>
        </patternFill>
      </fill>
      <alignment horizontal="center" textRotation="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outline="0">
        <left style="medium">
          <color indexed="64"/>
        </left>
        <right style="thin">
          <color theme="1"/>
        </right>
      </border>
    </dxf>
    <dxf>
      <font>
        <b/>
        <i val="0"/>
        <strike val="0"/>
        <condense val="0"/>
        <extend val="0"/>
        <outline val="0"/>
        <shadow val="0"/>
        <u val="none"/>
        <vertAlign val="baseline"/>
        <sz val="12"/>
        <color theme="0"/>
        <name val="Calibri"/>
        <family val="2"/>
        <scheme val="minor"/>
      </font>
      <fill>
        <patternFill patternType="solid">
          <fgColor theme="1"/>
          <bgColor theme="0"/>
        </patternFill>
      </fill>
      <alignment horizontal="center" vertical="center" textRotation="0" wrapText="1" indent="0" justifyLastLine="0" shrinkToFit="0" readingOrder="0"/>
    </dxf>
    <dxf>
      <font>
        <b val="0"/>
        <i val="0"/>
        <strike val="0"/>
        <condense val="0"/>
        <extend val="0"/>
        <outline val="0"/>
        <shadow val="0"/>
        <u val="none"/>
        <vertAlign val="baseline"/>
        <sz val="12"/>
        <color theme="1"/>
        <name val="Calibri"/>
        <family val="2"/>
        <scheme val="minor"/>
      </font>
      <fill>
        <patternFill>
          <fgColor indexed="64"/>
          <bgColor theme="1"/>
        </patternFill>
      </fill>
      <alignment horizontal="center" vertical="center" textRotation="0" wrapText="1" indent="0" justifyLastLine="0" shrinkToFit="0" readingOrder="0"/>
    </dxf>
    <dxf>
      <font>
        <b/>
        <i val="0"/>
        <strike val="0"/>
        <condense val="0"/>
        <extend val="0"/>
        <outline val="0"/>
        <shadow val="0"/>
        <u val="none"/>
        <vertAlign val="baseline"/>
        <sz val="12"/>
        <color theme="0"/>
        <name val="Calibri"/>
        <family val="2"/>
        <scheme val="minor"/>
      </font>
      <fill>
        <patternFill patternType="solid">
          <fgColor indexed="64"/>
          <bgColor theme="0"/>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i val="0"/>
        <strike val="0"/>
        <condense val="0"/>
        <extend val="0"/>
        <outline val="0"/>
        <shadow val="0"/>
        <u val="none"/>
        <vertAlign val="baseline"/>
        <sz val="12"/>
        <color theme="0"/>
        <name val="Calibri"/>
        <family val="2"/>
        <scheme val="minor"/>
      </font>
      <fill>
        <patternFill patternType="solid">
          <fgColor indexed="64"/>
          <bgColor theme="0"/>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0"/>
      </font>
      <fill>
        <patternFill patternType="solid">
          <bgColor theme="0"/>
        </patternFill>
      </fill>
      <alignment horizontal="center" vertical="center" textRotation="0" indent="0" justifyLastLine="0" shrinkToFit="0" readingOrder="0"/>
      <border diagonalUp="0" diagonalDown="0" outline="0">
        <left style="thin">
          <color indexed="64"/>
        </left>
        <right style="thin">
          <color indexed="64"/>
        </right>
        <top style="thin">
          <color indexed="64"/>
        </top>
        <bottom style="thin">
          <color indexed="64"/>
        </bottom>
      </border>
    </dxf>
    <dxf>
      <fill>
        <patternFill>
          <bgColor theme="0"/>
        </patternFill>
      </fill>
      <alignment horizontal="center" textRotation="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bgColor theme="0"/>
        </patternFill>
      </fill>
      <alignment horizontal="center" textRotation="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bgColor theme="0"/>
        </patternFill>
      </fill>
      <alignment horizontal="center" textRotation="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bgColor theme="0"/>
        </patternFill>
      </fill>
      <alignment horizontal="center" textRotation="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outline="0">
        <left style="medium">
          <color indexed="64"/>
        </left>
        <right style="thin">
          <color theme="1"/>
        </right>
      </border>
    </dxf>
    <dxf>
      <font>
        <b/>
        <i val="0"/>
        <strike val="0"/>
        <condense val="0"/>
        <extend val="0"/>
        <outline val="0"/>
        <shadow val="0"/>
        <u val="none"/>
        <vertAlign val="baseline"/>
        <sz val="12"/>
        <color theme="0"/>
        <name val="Calibri"/>
        <family val="2"/>
        <scheme val="minor"/>
      </font>
      <fill>
        <patternFill patternType="solid">
          <fgColor theme="1"/>
          <bgColor theme="0"/>
        </patternFill>
      </fill>
      <alignment horizontal="center" vertical="center" textRotation="0" wrapText="1" indent="0" justifyLastLine="0" shrinkToFit="0" readingOrder="0"/>
    </dxf>
    <dxf>
      <font>
        <b val="0"/>
        <i val="0"/>
        <strike val="0"/>
        <condense val="0"/>
        <extend val="0"/>
        <outline val="0"/>
        <shadow val="0"/>
        <u val="none"/>
        <vertAlign val="baseline"/>
        <sz val="12"/>
        <color theme="1"/>
        <name val="Calibri"/>
        <family val="2"/>
        <scheme val="minor"/>
      </font>
      <fill>
        <patternFill>
          <fgColor indexed="64"/>
          <bgColor theme="1"/>
        </patternFill>
      </fill>
      <alignment horizontal="center" vertical="center" textRotation="0" wrapText="1" indent="0" justifyLastLine="0" shrinkToFit="0" readingOrder="0"/>
    </dxf>
    <dxf>
      <font>
        <b/>
        <i val="0"/>
        <strike val="0"/>
        <condense val="0"/>
        <extend val="0"/>
        <outline val="0"/>
        <shadow val="0"/>
        <u val="none"/>
        <vertAlign val="baseline"/>
        <sz val="12"/>
        <color theme="0"/>
        <name val="Calibri"/>
        <family val="2"/>
        <scheme val="minor"/>
      </font>
      <fill>
        <patternFill patternType="solid">
          <fgColor indexed="64"/>
          <bgColor theme="0"/>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i val="0"/>
        <strike val="0"/>
        <condense val="0"/>
        <extend val="0"/>
        <outline val="0"/>
        <shadow val="0"/>
        <u val="none"/>
        <vertAlign val="baseline"/>
        <sz val="12"/>
        <color theme="0"/>
        <name val="Calibri"/>
        <family val="2"/>
        <scheme val="minor"/>
      </font>
      <fill>
        <patternFill patternType="solid">
          <fgColor indexed="64"/>
          <bgColor theme="0"/>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0"/>
      </font>
      <fill>
        <patternFill patternType="solid">
          <bgColor theme="0"/>
        </patternFill>
      </fill>
      <alignment horizontal="center" vertical="center" textRotation="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bgColor theme="0"/>
        </patternFill>
      </fill>
      <alignment horizontal="center" vertical="center" textRotation="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0"/>
        </patternFill>
      </fill>
      <alignment horizontal="center" vertical="center" textRotation="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0"/>
        </patternFill>
      </fill>
      <alignment horizontal="center" vertical="center" textRotation="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0"/>
        </patternFill>
      </fill>
      <alignment horizontal="center" vertical="center" textRotation="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outline="0">
        <left style="medium">
          <color indexed="64"/>
        </left>
        <right style="thin">
          <color theme="1"/>
        </right>
      </border>
    </dxf>
    <dxf>
      <font>
        <b/>
        <i val="0"/>
        <strike val="0"/>
        <condense val="0"/>
        <extend val="0"/>
        <outline val="0"/>
        <shadow val="0"/>
        <u val="none"/>
        <vertAlign val="baseline"/>
        <sz val="12"/>
        <color theme="0"/>
        <name val="Calibri"/>
        <family val="2"/>
        <scheme val="minor"/>
      </font>
      <fill>
        <patternFill patternType="solid">
          <fgColor theme="1"/>
          <bgColor theme="0"/>
        </patternFill>
      </fill>
      <alignment horizontal="center" vertical="center" textRotation="0" wrapText="1" indent="0" justifyLastLine="0" shrinkToFit="0" readingOrder="0"/>
    </dxf>
    <dxf>
      <font>
        <b val="0"/>
        <i val="0"/>
        <strike val="0"/>
        <condense val="0"/>
        <extend val="0"/>
        <outline val="0"/>
        <shadow val="0"/>
        <u val="none"/>
        <vertAlign val="baseline"/>
        <sz val="12"/>
        <color theme="1"/>
        <name val="Calibri"/>
        <family val="2"/>
        <scheme val="minor"/>
      </font>
      <fill>
        <patternFill>
          <fgColor indexed="64"/>
          <bgColor theme="1"/>
        </patternFill>
      </fill>
      <alignment horizontal="center" vertical="center" textRotation="0" wrapText="1" indent="0" justifyLastLine="0" shrinkToFit="0" readingOrder="0"/>
    </dxf>
    <dxf>
      <font>
        <b/>
        <i val="0"/>
        <strike val="0"/>
        <condense val="0"/>
        <extend val="0"/>
        <outline val="0"/>
        <shadow val="0"/>
        <u val="none"/>
        <vertAlign val="baseline"/>
        <sz val="12"/>
        <color theme="0"/>
        <name val="Calibri"/>
        <family val="2"/>
        <scheme val="minor"/>
      </font>
      <fill>
        <patternFill patternType="solid">
          <fgColor indexed="64"/>
          <bgColor theme="0"/>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i val="0"/>
        <strike val="0"/>
        <condense val="0"/>
        <extend val="0"/>
        <outline val="0"/>
        <shadow val="0"/>
        <u val="none"/>
        <vertAlign val="baseline"/>
        <sz val="12"/>
        <color theme="0"/>
        <name val="Calibri"/>
        <family val="2"/>
        <scheme val="minor"/>
      </font>
      <fill>
        <patternFill patternType="solid">
          <fgColor indexed="64"/>
          <bgColor theme="0"/>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i val="0"/>
        <strike val="0"/>
        <condense val="0"/>
        <extend val="0"/>
        <outline val="0"/>
        <shadow val="0"/>
        <u val="none"/>
        <vertAlign val="baseline"/>
        <sz val="12"/>
        <color theme="0"/>
        <name val="Calibri"/>
        <family val="2"/>
        <scheme val="minor"/>
      </font>
      <fill>
        <patternFill patternType="solid">
          <fgColor indexed="64"/>
          <bgColor theme="0"/>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i val="0"/>
        <strike val="0"/>
        <condense val="0"/>
        <extend val="0"/>
        <outline val="0"/>
        <shadow val="0"/>
        <u val="none"/>
        <vertAlign val="baseline"/>
        <sz val="12"/>
        <color theme="0"/>
        <name val="Calibri"/>
        <family val="2"/>
        <scheme val="minor"/>
      </font>
      <fill>
        <patternFill patternType="solid">
          <fgColor indexed="64"/>
          <bgColor theme="0"/>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0"/>
      </font>
      <fill>
        <patternFill>
          <bgColor theme="0"/>
        </patternFill>
      </fill>
      <alignment horizontal="center" textRotation="0" indent="0" justifyLastLine="0" shrinkToFit="0" readingOrder="0"/>
      <border diagonalUp="0" diagonalDown="0" outline="0">
        <left style="thin">
          <color indexed="64"/>
        </left>
        <right style="thin">
          <color indexed="64"/>
        </right>
        <top style="thin">
          <color indexed="64"/>
        </top>
        <bottom style="thin">
          <color indexed="64"/>
        </bottom>
      </border>
    </dxf>
    <dxf>
      <fill>
        <patternFill>
          <bgColor theme="0"/>
        </patternFill>
      </fill>
      <alignment horizontal="center" textRotation="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bgColor theme="0"/>
        </patternFill>
      </fill>
      <alignment horizontal="center" textRotation="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bgColor theme="0"/>
        </patternFill>
      </fill>
      <alignment horizontal="center" textRotation="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bgColor theme="0"/>
        </patternFill>
      </fill>
      <alignment horizontal="center" textRotation="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outline="0">
        <left style="medium">
          <color indexed="64"/>
        </left>
        <right style="thin">
          <color theme="1"/>
        </right>
      </border>
    </dxf>
    <dxf>
      <font>
        <b/>
        <i val="0"/>
        <strike val="0"/>
        <condense val="0"/>
        <extend val="0"/>
        <outline val="0"/>
        <shadow val="0"/>
        <u val="none"/>
        <vertAlign val="baseline"/>
        <sz val="12"/>
        <color theme="0"/>
        <name val="Calibri"/>
        <family val="2"/>
        <scheme val="minor"/>
      </font>
      <fill>
        <patternFill patternType="solid">
          <fgColor theme="1"/>
          <bgColor theme="0"/>
        </patternFill>
      </fill>
      <alignment horizontal="center" vertical="center" textRotation="0" wrapText="1" indent="0" justifyLastLine="0" shrinkToFit="0" readingOrder="0"/>
    </dxf>
    <dxf>
      <font>
        <b val="0"/>
        <i val="0"/>
        <strike val="0"/>
        <condense val="0"/>
        <extend val="0"/>
        <outline val="0"/>
        <shadow val="0"/>
        <u val="none"/>
        <vertAlign val="baseline"/>
        <sz val="12"/>
        <color theme="1"/>
        <name val="Calibri"/>
        <family val="2"/>
        <scheme val="minor"/>
      </font>
      <fill>
        <patternFill>
          <fgColor indexed="64"/>
          <bgColor theme="1"/>
        </patternFill>
      </fill>
      <alignment horizontal="center" vertical="center" textRotation="0" wrapText="1" indent="0" justifyLastLine="0" shrinkToFit="0" readingOrder="0"/>
    </dxf>
    <dxf>
      <font>
        <b/>
        <i val="0"/>
        <strike val="0"/>
        <condense val="0"/>
        <extend val="0"/>
        <outline val="0"/>
        <shadow val="0"/>
        <u val="none"/>
        <vertAlign val="baseline"/>
        <sz val="12"/>
        <color theme="0"/>
        <name val="Calibri"/>
        <family val="2"/>
        <scheme val="minor"/>
      </font>
      <fill>
        <patternFill patternType="solid">
          <fgColor indexed="64"/>
          <bgColor theme="0"/>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i val="0"/>
        <strike val="0"/>
        <condense val="0"/>
        <extend val="0"/>
        <outline val="0"/>
        <shadow val="0"/>
        <u val="none"/>
        <vertAlign val="baseline"/>
        <sz val="12"/>
        <color theme="0"/>
        <name val="Calibri"/>
        <family val="2"/>
        <scheme val="minor"/>
      </font>
      <fill>
        <patternFill patternType="solid">
          <fgColor indexed="64"/>
          <bgColor theme="0"/>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0"/>
      </font>
      <fill>
        <patternFill>
          <bgColor theme="0"/>
        </patternFill>
      </fill>
      <alignment horizontal="center" textRotation="0" indent="0" justifyLastLine="0" shrinkToFit="0" readingOrder="0"/>
      <border diagonalUp="0" diagonalDown="0" outline="0">
        <left style="thin">
          <color indexed="64"/>
        </left>
        <right style="thin">
          <color indexed="64"/>
        </right>
        <top style="thin">
          <color indexed="64"/>
        </top>
        <bottom style="thin">
          <color indexed="64"/>
        </bottom>
      </border>
    </dxf>
    <dxf>
      <fill>
        <patternFill>
          <bgColor theme="0"/>
        </patternFill>
      </fill>
      <alignment horizontal="center" textRotation="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bgColor theme="0"/>
        </patternFill>
      </fill>
      <alignment horizontal="center" textRotation="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bgColor theme="0"/>
        </patternFill>
      </fill>
      <alignment horizontal="center" textRotation="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bgColor theme="0"/>
        </patternFill>
      </fill>
      <alignment horizontal="center" textRotation="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outline="0">
        <left style="medium">
          <color indexed="64"/>
        </left>
        <right style="thin">
          <color theme="1"/>
        </right>
      </border>
    </dxf>
    <dxf>
      <font>
        <b/>
        <i val="0"/>
        <strike val="0"/>
        <condense val="0"/>
        <extend val="0"/>
        <outline val="0"/>
        <shadow val="0"/>
        <u val="none"/>
        <vertAlign val="baseline"/>
        <sz val="12"/>
        <color theme="0"/>
        <name val="Calibri"/>
        <family val="2"/>
        <scheme val="minor"/>
      </font>
      <fill>
        <patternFill patternType="solid">
          <fgColor theme="1"/>
          <bgColor theme="0"/>
        </patternFill>
      </fill>
      <alignment horizontal="center" vertical="center" textRotation="0" wrapText="1" indent="0" justifyLastLine="0" shrinkToFit="0" readingOrder="0"/>
    </dxf>
    <dxf>
      <font>
        <b val="0"/>
        <i val="0"/>
        <strike val="0"/>
        <condense val="0"/>
        <extend val="0"/>
        <outline val="0"/>
        <shadow val="0"/>
        <u val="none"/>
        <vertAlign val="baseline"/>
        <sz val="12"/>
        <color theme="1"/>
        <name val="Calibri"/>
        <family val="2"/>
        <scheme val="minor"/>
      </font>
      <fill>
        <patternFill>
          <fgColor indexed="64"/>
          <bgColor theme="1"/>
        </patternFill>
      </fill>
      <alignment horizontal="center" vertical="center" textRotation="0" wrapText="1" indent="0" justifyLastLine="0" shrinkToFit="0" readingOrder="0"/>
    </dxf>
    <dxf>
      <font>
        <b/>
        <i val="0"/>
        <strike val="0"/>
        <condense val="0"/>
        <extend val="0"/>
        <outline val="0"/>
        <shadow val="0"/>
        <u val="none"/>
        <vertAlign val="baseline"/>
        <sz val="12"/>
        <color theme="0"/>
        <name val="Calibri"/>
        <family val="2"/>
        <scheme val="minor"/>
      </font>
      <fill>
        <patternFill patternType="solid">
          <fgColor indexed="64"/>
          <bgColor theme="0"/>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i val="0"/>
        <strike val="0"/>
        <condense val="0"/>
        <extend val="0"/>
        <outline val="0"/>
        <shadow val="0"/>
        <u val="none"/>
        <vertAlign val="baseline"/>
        <sz val="12"/>
        <color theme="0"/>
        <name val="Calibri"/>
        <family val="2"/>
        <scheme val="minor"/>
      </font>
      <fill>
        <patternFill patternType="solid">
          <fgColor indexed="64"/>
          <bgColor theme="0"/>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0"/>
      </font>
      <fill>
        <patternFill>
          <bgColor theme="0"/>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ill>
        <patternFill>
          <bgColor theme="0"/>
        </patternFill>
      </fill>
      <alignment horizontal="center" textRotation="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bgColor theme="0"/>
        </patternFill>
      </fill>
      <alignment horizontal="center" textRotation="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bgColor theme="0"/>
        </patternFill>
      </fill>
      <alignment horizontal="center" textRotation="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bgColor theme="0"/>
        </patternFill>
      </fill>
      <alignment horizontal="center" textRotation="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outline="0">
        <left style="medium">
          <color indexed="64"/>
        </left>
        <right style="thin">
          <color theme="1"/>
        </right>
      </border>
    </dxf>
    <dxf>
      <font>
        <b/>
        <i val="0"/>
        <strike val="0"/>
        <condense val="0"/>
        <extend val="0"/>
        <outline val="0"/>
        <shadow val="0"/>
        <u val="none"/>
        <vertAlign val="baseline"/>
        <sz val="12"/>
        <color theme="0"/>
        <name val="Calibri"/>
        <family val="2"/>
        <scheme val="minor"/>
      </font>
      <fill>
        <patternFill patternType="solid">
          <fgColor theme="1"/>
          <bgColor theme="0"/>
        </patternFill>
      </fill>
      <alignment horizontal="center" vertical="center" textRotation="0" wrapText="1" indent="0" justifyLastLine="0" shrinkToFit="0" readingOrder="0"/>
    </dxf>
    <dxf>
      <font>
        <b val="0"/>
        <i val="0"/>
        <strike val="0"/>
        <condense val="0"/>
        <extend val="0"/>
        <outline val="0"/>
        <shadow val="0"/>
        <u val="none"/>
        <vertAlign val="baseline"/>
        <sz val="12"/>
        <color theme="1"/>
        <name val="Calibri"/>
        <family val="2"/>
        <scheme val="minor"/>
      </font>
      <fill>
        <patternFill>
          <fgColor indexed="64"/>
          <bgColor theme="1"/>
        </patternFill>
      </fill>
      <alignment horizontal="center" vertical="center" textRotation="0" wrapText="1" indent="0" justifyLastLine="0" shrinkToFit="0" readingOrder="0"/>
    </dxf>
    <dxf>
      <font>
        <b/>
        <i val="0"/>
        <strike val="0"/>
        <condense val="0"/>
        <extend val="0"/>
        <outline val="0"/>
        <shadow val="0"/>
        <u val="none"/>
        <vertAlign val="baseline"/>
        <sz val="12"/>
        <color theme="0"/>
        <name val="Calibri"/>
        <family val="2"/>
        <scheme val="minor"/>
      </font>
      <fill>
        <patternFill patternType="solid">
          <fgColor indexed="64"/>
          <bgColor theme="0"/>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2"/>
        <color theme="0"/>
        <name val="Calibri"/>
        <family val="2"/>
        <scheme val="minor"/>
      </font>
      <fill>
        <patternFill patternType="solid">
          <fgColor indexed="64"/>
          <bgColor theme="0"/>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0"/>
      </font>
      <fill>
        <patternFill patternType="solid">
          <fgColor indexed="64"/>
          <bgColor theme="0"/>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fgColor indexed="64"/>
          <bgColor theme="0"/>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fgColor indexed="64"/>
          <bgColor theme="0"/>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font>
      <fill>
        <patternFill patternType="solid">
          <fgColor indexed="64"/>
          <bgColor theme="0"/>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outline="0">
        <left style="medium">
          <color indexed="64"/>
        </left>
        <right style="thin">
          <color theme="1"/>
        </right>
      </border>
    </dxf>
    <dxf>
      <font>
        <b/>
        <i val="0"/>
        <strike val="0"/>
        <condense val="0"/>
        <extend val="0"/>
        <outline val="0"/>
        <shadow val="0"/>
        <u val="none"/>
        <vertAlign val="baseline"/>
        <sz val="12"/>
        <color theme="0"/>
        <name val="Calibri"/>
        <family val="2"/>
        <scheme val="minor"/>
      </font>
      <fill>
        <patternFill patternType="solid">
          <fgColor theme="1"/>
          <bgColor theme="0"/>
        </patternFill>
      </fill>
      <alignment horizontal="center" vertical="center" textRotation="0" wrapText="1" indent="0" justifyLastLine="0" shrinkToFit="0" readingOrder="0"/>
    </dxf>
    <dxf>
      <font>
        <b val="0"/>
        <i val="0"/>
        <strike val="0"/>
        <condense val="0"/>
        <extend val="0"/>
        <outline val="0"/>
        <shadow val="0"/>
        <u val="none"/>
        <vertAlign val="baseline"/>
        <sz val="12"/>
        <color theme="1"/>
        <name val="Calibri"/>
        <family val="2"/>
        <scheme val="minor"/>
      </font>
      <fill>
        <patternFill>
          <fgColor indexed="64"/>
          <bgColor theme="1"/>
        </patternFill>
      </fill>
      <alignment horizontal="center" vertical="center" textRotation="0" wrapText="1" indent="0" justifyLastLine="0" shrinkToFit="0" readingOrder="0"/>
    </dxf>
    <dxf>
      <font>
        <b/>
        <i val="0"/>
        <strike val="0"/>
        <condense val="0"/>
        <extend val="0"/>
        <outline val="0"/>
        <shadow val="0"/>
        <u val="none"/>
        <vertAlign val="baseline"/>
        <sz val="12"/>
        <color theme="0"/>
        <name val="Calibri"/>
        <family val="2"/>
        <scheme val="minor"/>
      </font>
      <fill>
        <patternFill patternType="solid">
          <fgColor indexed="64"/>
          <bgColor theme="0"/>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i val="0"/>
        <strike val="0"/>
        <condense val="0"/>
        <extend val="0"/>
        <outline val="0"/>
        <shadow val="0"/>
        <u val="none"/>
        <vertAlign val="baseline"/>
        <sz val="12"/>
        <color theme="0"/>
        <name val="Calibri"/>
        <family val="2"/>
        <scheme val="minor"/>
      </font>
      <fill>
        <patternFill patternType="solid">
          <fgColor indexed="64"/>
          <bgColor theme="0"/>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0"/>
      </font>
      <fill>
        <patternFill patternType="solid">
          <fgColor indexed="64"/>
          <bgColor theme="0"/>
        </patternFill>
      </fill>
      <alignment horizontal="center" vertical="center" textRotation="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horizontal="center" vertical="center" textRotation="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fgColor indexed="64"/>
          <bgColor theme="0"/>
        </patternFill>
      </fill>
      <alignment horizontal="center" vertical="center" textRotation="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fgColor indexed="64"/>
          <bgColor theme="0"/>
        </patternFill>
      </fill>
      <alignment horizontal="center" vertical="center" textRotation="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font>
      <fill>
        <patternFill patternType="solid">
          <fgColor indexed="64"/>
          <bgColor theme="0"/>
        </patternFill>
      </fill>
      <alignment horizontal="center" vertical="center" textRotation="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outline="0">
        <left style="medium">
          <color indexed="64"/>
        </left>
        <right style="thin">
          <color theme="1"/>
        </right>
      </border>
    </dxf>
    <dxf>
      <font>
        <b/>
        <i val="0"/>
        <strike val="0"/>
        <condense val="0"/>
        <extend val="0"/>
        <outline val="0"/>
        <shadow val="0"/>
        <u val="none"/>
        <vertAlign val="baseline"/>
        <sz val="12"/>
        <color theme="0"/>
        <name val="Calibri"/>
        <family val="2"/>
        <scheme val="minor"/>
      </font>
      <fill>
        <patternFill patternType="solid">
          <fgColor theme="1"/>
          <bgColor theme="0"/>
        </patternFill>
      </fill>
      <alignment horizontal="center" vertical="center" textRotation="0" wrapText="1" indent="0" justifyLastLine="0" shrinkToFit="0" readingOrder="0"/>
    </dxf>
    <dxf>
      <font>
        <b val="0"/>
        <i val="0"/>
        <strike val="0"/>
        <condense val="0"/>
        <extend val="0"/>
        <outline val="0"/>
        <shadow val="0"/>
        <u val="none"/>
        <vertAlign val="baseline"/>
        <sz val="12"/>
        <color theme="1"/>
        <name val="Calibri"/>
        <family val="2"/>
        <scheme val="minor"/>
      </font>
      <fill>
        <patternFill>
          <fgColor indexed="64"/>
          <bgColor theme="1"/>
        </patternFill>
      </fill>
      <alignment horizontal="center" vertical="center" textRotation="0" wrapText="1" indent="0" justifyLastLine="0" shrinkToFit="0" readingOrder="0"/>
    </dxf>
    <dxf>
      <font>
        <b/>
        <i val="0"/>
        <strike val="0"/>
        <condense val="0"/>
        <extend val="0"/>
        <outline val="0"/>
        <shadow val="0"/>
        <u val="none"/>
        <vertAlign val="baseline"/>
        <sz val="12"/>
        <color theme="0"/>
        <name val="Calibri"/>
        <family val="2"/>
        <scheme val="minor"/>
      </font>
      <fill>
        <patternFill patternType="solid">
          <fgColor indexed="64"/>
          <bgColor theme="0"/>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2"/>
        <color theme="0"/>
        <name val="Calibri"/>
        <family val="2"/>
        <scheme val="minor"/>
      </font>
      <fill>
        <patternFill patternType="solid">
          <fgColor indexed="64"/>
          <bgColor theme="0"/>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0"/>
      </font>
      <fill>
        <patternFill patternType="solid">
          <fgColor indexed="64"/>
          <bgColor theme="0"/>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fgColor indexed="64"/>
          <bgColor theme="0"/>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fgColor indexed="64"/>
          <bgColor theme="0"/>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font>
      <fill>
        <patternFill patternType="solid">
          <fgColor indexed="64"/>
          <bgColor theme="0"/>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outline="0">
        <left style="medium">
          <color indexed="64"/>
        </left>
        <right style="thin">
          <color theme="1"/>
        </right>
      </border>
    </dxf>
    <dxf>
      <font>
        <b/>
        <i val="0"/>
        <strike val="0"/>
        <condense val="0"/>
        <extend val="0"/>
        <outline val="0"/>
        <shadow val="0"/>
        <u val="none"/>
        <vertAlign val="baseline"/>
        <sz val="12"/>
        <color theme="0"/>
        <name val="Calibri"/>
        <family val="2"/>
        <scheme val="minor"/>
      </font>
      <fill>
        <patternFill patternType="solid">
          <fgColor theme="1"/>
          <bgColor theme="0"/>
        </patternFill>
      </fill>
      <alignment horizontal="center" vertical="center" textRotation="0" wrapText="1" indent="0" justifyLastLine="0" shrinkToFit="0" readingOrder="0"/>
    </dxf>
    <dxf>
      <font>
        <b val="0"/>
        <i val="0"/>
        <strike val="0"/>
        <condense val="0"/>
        <extend val="0"/>
        <outline val="0"/>
        <shadow val="0"/>
        <u val="none"/>
        <vertAlign val="baseline"/>
        <sz val="12"/>
        <color theme="1"/>
        <name val="Calibri"/>
        <family val="2"/>
        <scheme val="minor"/>
      </font>
      <fill>
        <patternFill>
          <fgColor indexed="64"/>
          <bgColor theme="1"/>
        </patternFill>
      </fill>
      <alignment horizontal="center" vertical="center" textRotation="0" wrapText="1" indent="0" justifyLastLine="0" shrinkToFit="0" readingOrder="0"/>
    </dxf>
    <dxf>
      <font>
        <b/>
        <i val="0"/>
        <strike val="0"/>
        <condense val="0"/>
        <extend val="0"/>
        <outline val="0"/>
        <shadow val="0"/>
        <u val="none"/>
        <vertAlign val="baseline"/>
        <sz val="12"/>
        <color theme="0"/>
        <name val="Calibri"/>
        <family val="2"/>
        <scheme val="minor"/>
      </font>
      <fill>
        <patternFill patternType="solid">
          <fgColor indexed="64"/>
          <bgColor theme="0"/>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i val="0"/>
        <strike val="0"/>
        <condense val="0"/>
        <extend val="0"/>
        <outline val="0"/>
        <shadow val="0"/>
        <u val="none"/>
        <vertAlign val="baseline"/>
        <sz val="12"/>
        <color theme="0"/>
        <name val="Calibri"/>
        <family val="2"/>
        <scheme val="minor"/>
      </font>
      <fill>
        <patternFill patternType="solid">
          <fgColor indexed="64"/>
          <bgColor theme="0"/>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0"/>
      </font>
      <fill>
        <patternFill>
          <bgColor theme="0"/>
        </patternFill>
      </fill>
      <alignment horizontal="center" vertical="center" textRotation="0" indent="0" justifyLastLine="0" shrinkToFit="0" readingOrder="0"/>
      <border diagonalUp="0" diagonalDown="0" outline="0">
        <left style="thin">
          <color indexed="64"/>
        </left>
        <right style="thin">
          <color indexed="64"/>
        </right>
        <top style="thin">
          <color indexed="64"/>
        </top>
        <bottom style="thin">
          <color indexed="64"/>
        </bottom>
      </border>
    </dxf>
    <dxf>
      <fill>
        <patternFill>
          <bgColor theme="0"/>
        </patternFill>
      </fill>
      <alignment horizontal="center" vertical="center" textRotation="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bgColor theme="0"/>
        </patternFill>
      </fill>
      <alignment horizontal="center" vertical="center" textRotation="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bgColor theme="0"/>
        </patternFill>
      </fill>
      <alignment horizontal="center" vertical="center" textRotation="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font>
      <fill>
        <patternFill>
          <bgColor theme="0"/>
        </patternFill>
      </fill>
      <alignment horizontal="center" vertical="center" textRotation="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outline="0">
        <left style="medium">
          <color indexed="64"/>
        </left>
        <right style="thin">
          <color theme="1"/>
        </right>
      </border>
    </dxf>
    <dxf>
      <font>
        <b/>
        <i val="0"/>
        <strike val="0"/>
        <condense val="0"/>
        <extend val="0"/>
        <outline val="0"/>
        <shadow val="0"/>
        <u val="none"/>
        <vertAlign val="baseline"/>
        <sz val="12"/>
        <color theme="0"/>
        <name val="Calibri"/>
        <family val="2"/>
        <scheme val="minor"/>
      </font>
      <fill>
        <patternFill patternType="solid">
          <fgColor theme="1"/>
          <bgColor theme="0"/>
        </patternFill>
      </fill>
      <alignment horizontal="center" vertical="center" textRotation="0" wrapText="1" indent="0" justifyLastLine="0" shrinkToFit="0" readingOrder="0"/>
    </dxf>
    <dxf>
      <font>
        <b val="0"/>
        <i val="0"/>
        <strike val="0"/>
        <condense val="0"/>
        <extend val="0"/>
        <outline val="0"/>
        <shadow val="0"/>
        <u val="none"/>
        <vertAlign val="baseline"/>
        <sz val="12"/>
        <color theme="1"/>
        <name val="Calibri"/>
        <family val="2"/>
        <scheme val="minor"/>
      </font>
      <fill>
        <patternFill>
          <fgColor indexed="64"/>
          <bgColor theme="1"/>
        </patternFill>
      </fill>
      <alignment horizontal="center" vertical="center" textRotation="0" wrapText="1" indent="0" justifyLastLine="0" shrinkToFit="0" readingOrder="0"/>
    </dxf>
    <dxf>
      <font>
        <b/>
        <i val="0"/>
        <strike val="0"/>
        <condense val="0"/>
        <extend val="0"/>
        <outline val="0"/>
        <shadow val="0"/>
        <u val="none"/>
        <vertAlign val="baseline"/>
        <sz val="12"/>
        <color theme="0"/>
        <name val="Calibri"/>
        <family val="2"/>
        <scheme val="minor"/>
      </font>
      <fill>
        <patternFill patternType="solid">
          <fgColor indexed="64"/>
          <bgColor theme="0"/>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i val="0"/>
        <strike val="0"/>
        <condense val="0"/>
        <extend val="0"/>
        <outline val="0"/>
        <shadow val="0"/>
        <u val="none"/>
        <vertAlign val="baseline"/>
        <sz val="12"/>
        <color theme="0"/>
        <name val="Calibri"/>
        <family val="2"/>
        <scheme val="minor"/>
      </font>
      <fill>
        <patternFill patternType="solid">
          <fgColor indexed="64"/>
          <bgColor theme="0"/>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0"/>
      </font>
      <fill>
        <patternFill>
          <bgColor theme="0"/>
        </patternFill>
      </fill>
      <alignment horizontal="center" vertical="center" textRotation="0" indent="0" justifyLastLine="0" shrinkToFit="0" readingOrder="0"/>
      <border diagonalUp="0" diagonalDown="0" outline="0">
        <left style="thin">
          <color indexed="64"/>
        </left>
        <right style="thin">
          <color indexed="64"/>
        </right>
        <top style="thin">
          <color indexed="64"/>
        </top>
        <bottom style="thin">
          <color indexed="64"/>
        </bottom>
      </border>
    </dxf>
    <dxf>
      <fill>
        <patternFill>
          <bgColor theme="0"/>
        </patternFill>
      </fill>
      <alignment horizontal="center" vertical="center" textRotation="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bgColor theme="0"/>
        </patternFill>
      </fill>
      <alignment horizontal="center" vertical="center" textRotation="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bgColor theme="0"/>
        </patternFill>
      </fill>
      <alignment horizontal="center" vertical="center" textRotation="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font>
      <fill>
        <patternFill>
          <bgColor theme="0"/>
        </patternFill>
      </fill>
      <alignment horizontal="center" vertical="center" textRotation="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outline="0">
        <left style="medium">
          <color indexed="64"/>
        </left>
        <right style="thin">
          <color theme="1"/>
        </right>
      </border>
    </dxf>
    <dxf>
      <font>
        <b/>
        <i val="0"/>
        <strike val="0"/>
        <condense val="0"/>
        <extend val="0"/>
        <outline val="0"/>
        <shadow val="0"/>
        <u val="none"/>
        <vertAlign val="baseline"/>
        <sz val="12"/>
        <color theme="0"/>
        <name val="Calibri"/>
        <family val="2"/>
        <scheme val="minor"/>
      </font>
      <fill>
        <patternFill patternType="solid">
          <fgColor theme="1"/>
          <bgColor theme="0"/>
        </patternFill>
      </fill>
      <alignment horizontal="center" vertical="center" textRotation="0" wrapText="1" indent="0" justifyLastLine="0" shrinkToFit="0" readingOrder="0"/>
    </dxf>
    <dxf>
      <font>
        <b val="0"/>
        <i val="0"/>
        <strike val="0"/>
        <condense val="0"/>
        <extend val="0"/>
        <outline val="0"/>
        <shadow val="0"/>
        <u val="none"/>
        <vertAlign val="baseline"/>
        <sz val="12"/>
        <color theme="1"/>
        <name val="Calibri"/>
        <family val="2"/>
        <scheme val="minor"/>
      </font>
      <fill>
        <patternFill>
          <fgColor indexed="64"/>
          <bgColor theme="1"/>
        </patternFill>
      </fill>
      <alignment horizontal="center" vertical="center" textRotation="0" wrapText="1" indent="0" justifyLastLine="0" shrinkToFit="0" readingOrder="0"/>
    </dxf>
  </dxfs>
  <tableStyles count="1" defaultTableStyle="TableStyleMedium9" defaultPivotStyle="PivotStyleLight16">
    <tableStyle name="Table Style 1" pivot="0" count="0" xr9:uid="{CA666E61-E9B1-4DE5-AE66-068CBB91685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E80FAE2-4386-4070-A524-69384752282F}" name="Table141619" displayName="Table141619" ref="A100:G160" totalsRowShown="0" headerRowDxfId="151" dataDxfId="150" tableBorderDxfId="149">
  <autoFilter ref="A100:G160" xr:uid="{FE80FAE2-4386-4070-A524-69384752282F}"/>
  <sortState xmlns:xlrd2="http://schemas.microsoft.com/office/spreadsheetml/2017/richdata2" ref="A101:G160">
    <sortCondition ref="A100:A160"/>
  </sortState>
  <tableColumns count="7">
    <tableColumn id="7" xr3:uid="{113AF98E-BFFF-4B8C-82DC-B8953A6B0DD1}" name="Paper ID" dataDxfId="148"/>
    <tableColumn id="8" xr3:uid="{96897F9A-0E15-4DB8-BF46-A17BDC915DF5}" name="Year" dataDxfId="147"/>
    <tableColumn id="9" xr3:uid="{B83EAFF7-A814-4017-BDC4-83AA6B994950}" name="Authors" dataDxfId="146"/>
    <tableColumn id="10" xr3:uid="{8E64BE53-FA33-48D6-82F6-DF3F57BD0B9C}" name="Title" dataDxfId="145"/>
    <tableColumn id="11" xr3:uid="{1A045C59-1AA3-4202-A136-2EF570C39308}" name="Abstract" dataDxfId="144"/>
    <tableColumn id="14" xr3:uid="{25774709-F9FF-49E5-899F-25328AEA3C48}" name=" Filtering Reviewer 1" dataDxfId="143"/>
    <tableColumn id="15" xr3:uid="{5C7481C0-6230-46BA-B811-53C0A7572592}" name="Filtering Reviewer 2" dataDxfId="142"/>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4E9637F6-2FCB-4B2A-AE6D-0799752CE5FD}" name="Table14161920" displayName="Table14161920" ref="A166:G272" totalsRowShown="0" headerRowDxfId="141" dataDxfId="140" tableBorderDxfId="139">
  <autoFilter ref="A166:G272" xr:uid="{4E9637F6-2FCB-4B2A-AE6D-0799752CE5FD}"/>
  <sortState xmlns:xlrd2="http://schemas.microsoft.com/office/spreadsheetml/2017/richdata2" ref="A167:G272">
    <sortCondition ref="A166:A272"/>
  </sortState>
  <tableColumns count="7">
    <tableColumn id="7" xr3:uid="{78F4668A-E688-48CB-BEFB-278383F97D77}" name="Paper ID" dataDxfId="138"/>
    <tableColumn id="8" xr3:uid="{B1EA8E40-BA63-4A78-ABC5-3349FFDB78EB}" name="Year" dataDxfId="137"/>
    <tableColumn id="9" xr3:uid="{B0D390AF-7133-47A8-92B8-7CDD9B3E313C}" name="Authors" dataDxfId="136"/>
    <tableColumn id="10" xr3:uid="{4636D0A0-1463-47CA-B8B5-53DBFC626160}" name="Title" dataDxfId="135"/>
    <tableColumn id="11" xr3:uid="{BCB4FCF5-544E-4199-904C-6A8C8EE5F6AD}" name="Abstract" dataDxfId="134"/>
    <tableColumn id="14" xr3:uid="{19F5A5A5-DD18-48EF-BAC7-F29645BFCB0D}" name=" Filtering Reviewer 1" dataDxfId="133"/>
    <tableColumn id="15" xr3:uid="{414E0960-6370-4458-82C8-69B0E5F704DF}" name="Filtering Reviewer 2" dataDxfId="132"/>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26246BEB-E5D0-4EF6-B47B-9AFBD1793211}" name="Table14161921" displayName="Table14161921" ref="A278:G289" totalsRowShown="0" headerRowDxfId="131" dataDxfId="130" tableBorderDxfId="129">
  <autoFilter ref="A278:G289" xr:uid="{26246BEB-E5D0-4EF6-B47B-9AFBD1793211}"/>
  <sortState xmlns:xlrd2="http://schemas.microsoft.com/office/spreadsheetml/2017/richdata2" ref="A279:G290">
    <sortCondition ref="A278:A290"/>
  </sortState>
  <tableColumns count="7">
    <tableColumn id="7" xr3:uid="{DCCF2877-1F21-402A-BF06-BE6006AA30EE}" name="Paper ID" dataDxfId="128"/>
    <tableColumn id="8" xr3:uid="{E74224CC-3E5F-4516-B894-A48D9FCA631B}" name="Year" dataDxfId="127"/>
    <tableColumn id="9" xr3:uid="{920CAB18-AF69-4AB5-9A96-A9C6942485CE}" name="Authors" dataDxfId="126"/>
    <tableColumn id="10" xr3:uid="{51F09844-4FEA-491D-80A0-46BBE13CBB11}" name="Title" dataDxfId="125"/>
    <tableColumn id="11" xr3:uid="{A89855A4-D84F-4FE7-8387-F9B5D0389ABE}" name="Abstract" dataDxfId="124"/>
    <tableColumn id="14" xr3:uid="{421243D0-B42B-4071-8CEC-6F45AB498773}" name=" Filtering Reviewer 1" dataDxfId="123"/>
    <tableColumn id="15" xr3:uid="{484FC369-70A7-43E2-A5A2-508DAF8769FB}" name="Filtering Reviewer 2" dataDxfId="122"/>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FE950145-6A9E-41F2-952F-30B24000D015}" name="Table1416192122" displayName="Table1416192122" ref="A296:G349" totalsRowShown="0" headerRowDxfId="121" dataDxfId="120" tableBorderDxfId="119">
  <autoFilter ref="A296:G349" xr:uid="{FE950145-6A9E-41F2-952F-30B24000D015}"/>
  <sortState xmlns:xlrd2="http://schemas.microsoft.com/office/spreadsheetml/2017/richdata2" ref="A297:G349">
    <sortCondition ref="A296:A349"/>
  </sortState>
  <tableColumns count="7">
    <tableColumn id="7" xr3:uid="{5045B19F-A61C-443A-82D1-160AD8F938A9}" name="Paper ID" dataDxfId="118"/>
    <tableColumn id="8" xr3:uid="{1A745868-69E4-49E1-B5CB-A4A90B420F6A}" name="Year" dataDxfId="117"/>
    <tableColumn id="9" xr3:uid="{B345F5CE-6FE8-492F-89F0-825C06B0C462}" name="Authors" dataDxfId="116"/>
    <tableColumn id="10" xr3:uid="{8E996853-AF94-4034-AD90-F0EDFD0ADE9A}" name="Title" dataDxfId="115"/>
    <tableColumn id="11" xr3:uid="{F7B20804-F436-4D90-8DE8-9E555CF61832}" name="Abstract" dataDxfId="114"/>
    <tableColumn id="14" xr3:uid="{2C192EF0-61BB-45AF-A2C3-13A414A6B22B}" name=" Filtering Reviewer 1" dataDxfId="113"/>
    <tableColumn id="15" xr3:uid="{18A86074-B561-40F7-AFB7-1CA67ECED6E1}" name="Filtering Reviewer 2" dataDxfId="112"/>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A63CD540-9684-4316-A049-93FEBC3D2541}" name="Table141619212223" displayName="Table141619212223" ref="A355:G363" totalsRowShown="0" headerRowDxfId="111" dataDxfId="110" tableBorderDxfId="109">
  <autoFilter ref="A355:G363" xr:uid="{A63CD540-9684-4316-A049-93FEBC3D2541}"/>
  <tableColumns count="7">
    <tableColumn id="7" xr3:uid="{05CAA8E0-CB1C-4AE3-9432-5DBBE6E3AEC2}" name="Paper ID" dataDxfId="108"/>
    <tableColumn id="8" xr3:uid="{992086DB-E6C8-426A-B993-4619426466A0}" name="Year" dataDxfId="107"/>
    <tableColumn id="9" xr3:uid="{609AAD50-6B2C-4874-9DFC-D760A68DAC11}" name="Authors" dataDxfId="106"/>
    <tableColumn id="10" xr3:uid="{F0D1FEF9-0A01-4277-AFE7-8C2FB01C68AD}" name="Title" dataDxfId="105"/>
    <tableColumn id="11" xr3:uid="{4F064849-B124-4388-A672-D6DB20F4AC3D}" name="Abstract" dataDxfId="104"/>
    <tableColumn id="14" xr3:uid="{C0C0DD84-5B9A-43A6-ABC9-FF7659EB3782}" name=" Filtering Reviewer 1" dataDxfId="103"/>
    <tableColumn id="15" xr3:uid="{0195232A-9ABE-48A8-8872-77EC026F111C}" name="Filtering Reviewer 2" dataDxfId="102"/>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7FEC90A9-1B6F-4FCC-A7C6-481A2DD72453}" name="Table14161921222324" displayName="Table14161921222324" ref="A369:G429" totalsRowShown="0" headerRowDxfId="101" dataDxfId="100" tableBorderDxfId="99">
  <autoFilter ref="A369:G429" xr:uid="{7FEC90A9-1B6F-4FCC-A7C6-481A2DD72453}"/>
  <sortState xmlns:xlrd2="http://schemas.microsoft.com/office/spreadsheetml/2017/richdata2" ref="A370:G429">
    <sortCondition ref="A369:A429"/>
  </sortState>
  <tableColumns count="7">
    <tableColumn id="7" xr3:uid="{08AC84D7-6126-4DA2-ABA9-7B631E72C0AC}" name="Paper ID" dataDxfId="98"/>
    <tableColumn id="8" xr3:uid="{245D5187-62D7-4E59-9018-3D0F69EF1E1B}" name="Year" dataDxfId="97"/>
    <tableColumn id="9" xr3:uid="{F1D095F6-E8A4-44CF-9678-1E273FB12C1A}" name="Authors" dataDxfId="96"/>
    <tableColumn id="10" xr3:uid="{25F84DF3-707E-4C0E-B525-914966309DE5}" name="Title" dataDxfId="95"/>
    <tableColumn id="11" xr3:uid="{12507524-0062-4F94-AFD1-C82E6A9560E3}" name="Abstract" dataDxfId="94"/>
    <tableColumn id="14" xr3:uid="{B350629D-19BA-48D6-894A-B5FED756ABE4}" name=" Filtering Reviewer 1" dataDxfId="93"/>
    <tableColumn id="15" xr3:uid="{F6E72196-0CD0-443B-9AF5-F82C53C2C6C0}" name="Filtering Reviewer 2" dataDxfId="92"/>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21BFB71E-5A77-402C-83D5-E4A14619AA1E}" name="Table1416192122232425" displayName="Table1416192122232425" ref="A435:G531" totalsRowShown="0" headerRowDxfId="91" dataDxfId="90" tableBorderDxfId="89">
  <autoFilter ref="A435:G531" xr:uid="{21BFB71E-5A77-402C-83D5-E4A14619AA1E}"/>
  <sortState xmlns:xlrd2="http://schemas.microsoft.com/office/spreadsheetml/2017/richdata2" ref="A436:G531">
    <sortCondition ref="A435:A531"/>
  </sortState>
  <tableColumns count="7">
    <tableColumn id="7" xr3:uid="{0CE4EBA1-A76C-4FBA-88E0-81BD25362EB1}" name="Paper ID" dataDxfId="88"/>
    <tableColumn id="8" xr3:uid="{DC324C3E-966D-421F-A52F-B4B375358C9B}" name="Year" dataDxfId="87"/>
    <tableColumn id="9" xr3:uid="{BB7CF2E6-547B-402C-8A73-20A726AE5D93}" name="Authors" dataDxfId="86"/>
    <tableColumn id="10" xr3:uid="{8745E5E3-B783-4596-864A-145659319626}" name="Title" dataDxfId="85"/>
    <tableColumn id="11" xr3:uid="{4409A2C4-3F4D-4721-88A0-AF5D85C75D4E}" name="Abstract" dataDxfId="84"/>
    <tableColumn id="14" xr3:uid="{CCA478E1-F11A-4932-951F-D17CD82C887C}" name=" Filtering Reviewer 1" dataDxfId="83"/>
    <tableColumn id="15" xr3:uid="{79065BCB-A69A-401F-8D0A-804E1F8400E4}" name="Filtering Reviewer 2" dataDxfId="82"/>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BF88CA9-FEE9-4CCB-9008-28B35D1ABE15}" name="Table141619212223242526" displayName="Table141619212223242526" ref="A594:I712" totalsRowShown="0" headerRowDxfId="81" dataDxfId="80" tableBorderDxfId="79">
  <autoFilter ref="A594:I712" xr:uid="{0BF88CA9-FEE9-4CCB-9008-28B35D1ABE15}"/>
  <sortState xmlns:xlrd2="http://schemas.microsoft.com/office/spreadsheetml/2017/richdata2" ref="A595:I712">
    <sortCondition ref="A594:A712"/>
  </sortState>
  <tableColumns count="9">
    <tableColumn id="7" xr3:uid="{9629670B-2537-4410-A979-8833584885A4}" name="Paper ID" dataDxfId="78"/>
    <tableColumn id="8" xr3:uid="{CACB0A25-1540-4C91-9107-EE46CF3D79DA}" name="Year" dataDxfId="77"/>
    <tableColumn id="9" xr3:uid="{24FF4C80-3042-4F73-A5AD-DA506F262B65}" name="Authors" dataDxfId="76"/>
    <tableColumn id="10" xr3:uid="{4786EC9C-B568-41A2-A729-E7201A0BDAEE}" name="Title" dataDxfId="75"/>
    <tableColumn id="11" xr3:uid="{540B3C66-F2C2-44D0-8D97-479CCC4CD6DC}" name="Abstract" dataDxfId="74"/>
    <tableColumn id="12" xr3:uid="{FD687E08-CB31-4BCD-8552-C9A3A1821551}" name="Paper available in full text" dataDxfId="73"/>
    <tableColumn id="13" xr3:uid="{BC90D088-EC61-4830-8F5D-EBFF3C70539C}" name="Link to the downloaded paper" dataDxfId="72"/>
    <tableColumn id="14" xr3:uid="{1842EA49-4A01-4F21-8A72-9FB26A70D02B}" name=" Filtering Reviewer 1" dataDxfId="71"/>
    <tableColumn id="15" xr3:uid="{FF900685-4E9C-4790-8BA9-A8E7DFB4191F}" name="Filtering Reviewer 2" dataDxfId="70"/>
  </tableColumns>
  <tableStyleInfo name="TableStyleMedium2"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756271D5-5A27-414A-B3BF-5566CE108A5E}" name="Table14161921222324252617" displayName="Table14161921222324252617" ref="A718:G784" totalsRowShown="0" headerRowDxfId="69" dataDxfId="68" tableBorderDxfId="67">
  <autoFilter ref="A718:G784" xr:uid="{756271D5-5A27-414A-B3BF-5566CE108A5E}"/>
  <sortState xmlns:xlrd2="http://schemas.microsoft.com/office/spreadsheetml/2017/richdata2" ref="A719:G784">
    <sortCondition ref="A718:A784"/>
  </sortState>
  <tableColumns count="7">
    <tableColumn id="7" xr3:uid="{D1C4A543-31D6-4888-A4E0-3D1A3665B217}" name="Paper ID" dataDxfId="66"/>
    <tableColumn id="8" xr3:uid="{0D4624D1-9465-4522-AEC9-DC32A536C694}" name="Year" dataDxfId="65"/>
    <tableColumn id="9" xr3:uid="{2CA10096-5CD8-4653-9556-B0387A639A08}" name="Authors" dataDxfId="64"/>
    <tableColumn id="10" xr3:uid="{D88B8F26-C4F1-4A86-91B9-1E3CE6112624}" name="Title" dataDxfId="63"/>
    <tableColumn id="11" xr3:uid="{7D9B77A7-B888-459A-9EB2-7729AA6C1E50}" name="Abstract" dataDxfId="62"/>
    <tableColumn id="14" xr3:uid="{3CDF2F70-D9A8-4595-8C96-65511367DA38}" name=" Filtering Reviewer 1" dataDxfId="61"/>
    <tableColumn id="15" xr3:uid="{4A18F5D2-3289-45B1-AFEF-8C38DA0CABBE}" name="Filtering Reviewer 2" dataDxfId="60"/>
  </tableColumns>
  <tableStyleInfo name="TableStyleMedium2"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2F681424-2722-4B92-A735-345761E2EF8C}" name="Table1416192122232425261718" displayName="Table1416192122232425261718" ref="A790:G885" totalsRowShown="0" headerRowDxfId="59" dataDxfId="58" tableBorderDxfId="57">
  <autoFilter ref="A790:G885" xr:uid="{2F681424-2722-4B92-A735-345761E2EF8C}"/>
  <sortState xmlns:xlrd2="http://schemas.microsoft.com/office/spreadsheetml/2017/richdata2" ref="A791:G885">
    <sortCondition ref="A790:A885"/>
  </sortState>
  <tableColumns count="7">
    <tableColumn id="7" xr3:uid="{351E83E3-A38C-4815-A82D-F0B032F6B204}" name="Paper ID" dataDxfId="56"/>
    <tableColumn id="8" xr3:uid="{2C22044D-4CB2-4C31-AE60-06A10DB831A7}" name="Year" dataDxfId="55"/>
    <tableColumn id="9" xr3:uid="{DA106AC0-98AF-473C-AC18-27FF86874DA5}" name="Authors" dataDxfId="54"/>
    <tableColumn id="10" xr3:uid="{18B1A282-1D51-4BD1-BAF8-FA7D827BE108}" name="Title" dataDxfId="53"/>
    <tableColumn id="11" xr3:uid="{C9A9D7B1-6553-4273-8323-180E32549D6C}" name="Abstract" dataDxfId="52"/>
    <tableColumn id="14" xr3:uid="{C4F51F62-8E9E-4F72-BF79-A18FFE24ED38}" name=" Filtering Reviewer 1" dataDxfId="51"/>
    <tableColumn id="15" xr3:uid="{FEAC1547-5FDE-4188-BD77-F3BC9479B034}" name="Filtering Reviewer 2" dataDxfId="50"/>
  </tableColumns>
  <tableStyleInfo name="TableStyleMedium2"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7C1AA447-FEA0-47DA-AF99-4AC4F7543C77}" name="Table141619212223242526171827" displayName="Table141619212223242526171827" ref="A891:G930" totalsRowShown="0" headerRowDxfId="49" dataDxfId="48" tableBorderDxfId="47">
  <autoFilter ref="A891:G930" xr:uid="{7C1AA447-FEA0-47DA-AF99-4AC4F7543C77}"/>
  <sortState xmlns:xlrd2="http://schemas.microsoft.com/office/spreadsheetml/2017/richdata2" ref="A892:G930">
    <sortCondition ref="A891:A930"/>
  </sortState>
  <tableColumns count="7">
    <tableColumn id="7" xr3:uid="{62411F19-781E-477F-B15C-C9FDDA4808EF}" name="Paper ID" dataDxfId="46"/>
    <tableColumn id="8" xr3:uid="{461653F3-AFDC-440B-9D78-0590402717B8}" name="Year" dataDxfId="45"/>
    <tableColumn id="9" xr3:uid="{02E452C0-0ECD-4D4D-9506-EF9ED537876C}" name="Authors" dataDxfId="44"/>
    <tableColumn id="10" xr3:uid="{1344D661-88D2-457B-B682-FCB0828F233B}" name="Title" dataDxfId="43"/>
    <tableColumn id="11" xr3:uid="{1364F7D1-F2AF-49F7-B5E6-C17FD2FBCE8F}" name="Abstract" dataDxfId="42"/>
    <tableColumn id="14" xr3:uid="{B2165B67-8DA0-42B4-8DC6-355B894864EC}" name=" Filtering Reviewer 1" dataDxfId="41"/>
    <tableColumn id="15" xr3:uid="{291A6339-87B2-4FCF-810B-67BFC430C620}" name="Filtering Reviewer 2" dataDxfId="40"/>
  </tableColumns>
  <tableStyleInfo name="TableStyleMedium2"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D3EFEAB7-36B6-40C5-AFC6-F0EBF08BB944}" name="Table14" displayName="Table14" ref="A7:G46" totalsRowShown="0" headerRowDxfId="39" dataDxfId="38" tableBorderDxfId="37">
  <autoFilter ref="A7:G46" xr:uid="{D3EFEAB7-36B6-40C5-AFC6-F0EBF08BB944}"/>
  <sortState xmlns:xlrd2="http://schemas.microsoft.com/office/spreadsheetml/2017/richdata2" ref="A8:G46">
    <sortCondition ref="A7:A46"/>
  </sortState>
  <tableColumns count="7">
    <tableColumn id="7" xr3:uid="{C9248E99-B92D-4F14-8F33-80812D7680F1}" name="Paper ID" dataDxfId="36"/>
    <tableColumn id="8" xr3:uid="{4072D12A-F4A4-46EB-9D4E-9F0637E39D10}" name="Year" dataDxfId="35"/>
    <tableColumn id="9" xr3:uid="{4DB019CE-14AF-4F21-81BA-36075A32FAD7}" name="Authors" dataDxfId="34"/>
    <tableColumn id="10" xr3:uid="{21C6A10D-1848-4F99-AEE7-AE31F7F66928}" name="Title" dataDxfId="33"/>
    <tableColumn id="11" xr3:uid="{FE2FDED3-97E6-46BC-A3F3-45BE0F9D962E}" name="Abstract" dataDxfId="32"/>
    <tableColumn id="14" xr3:uid="{D6B86F89-6C59-4583-AECF-5296CFA3B629}" name=" Filtering Reviewer 1" dataDxfId="31"/>
    <tableColumn id="15" xr3:uid="{1B82BCD1-368B-4DEA-A8EF-CF9167083D75}" name=" Filtering Reviewer 2" dataDxfId="30"/>
  </tableColumns>
  <tableStyleInfo name="TableStyleMedium2"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EE3600DA-17E0-4BE2-8B28-BA36C3F4832E}" name="Table1416" displayName="Table1416" ref="A52:G94" totalsRowShown="0" headerRowDxfId="29" dataDxfId="28" tableBorderDxfId="27">
  <autoFilter ref="A52:G94" xr:uid="{EE3600DA-17E0-4BE2-8B28-BA36C3F4832E}"/>
  <sortState xmlns:xlrd2="http://schemas.microsoft.com/office/spreadsheetml/2017/richdata2" ref="A53:G94">
    <sortCondition ref="A52:A94"/>
  </sortState>
  <tableColumns count="7">
    <tableColumn id="7" xr3:uid="{079D57C7-D192-43F9-8804-7EB25F0D85D6}" name="Paper ID" dataDxfId="26"/>
    <tableColumn id="8" xr3:uid="{87DEEB97-7EB6-4E89-90EB-C9EE83322945}" name="Year" dataDxfId="25"/>
    <tableColumn id="9" xr3:uid="{39B9AD3B-192D-4B16-BCA8-219AA72F79BD}" name="Authors" dataDxfId="24"/>
    <tableColumn id="10" xr3:uid="{10461AE9-6DF0-4EDB-B806-8C641B8C7334}" name="Title" dataDxfId="23"/>
    <tableColumn id="11" xr3:uid="{0AED4C84-B571-480E-9740-8845D414AEDF}" name="Abstract" dataDxfId="22"/>
    <tableColumn id="14" xr3:uid="{975EB980-8AEA-43D2-BF34-6B3349F91C8C}" name=" Filtering Reviewer 1" dataDxfId="21"/>
    <tableColumn id="15" xr3:uid="{8AA69E6F-6AE9-48F9-8449-C83CAB21893F}" name="Filtering Reviewer 2" dataDxfId="20"/>
  </tableColumns>
  <tableStyleInfo name="TableStyleMedium2"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7189E793-6E37-4694-9FFF-7AD4880CCE21}" name="Table14161921222324252630" displayName="Table14161921222324252630" ref="A537:G567" totalsRowShown="0" headerRowDxfId="19" dataDxfId="18" tableBorderDxfId="17">
  <autoFilter ref="A537:G567" xr:uid="{7189E793-6E37-4694-9FFF-7AD4880CCE21}"/>
  <sortState xmlns:xlrd2="http://schemas.microsoft.com/office/spreadsheetml/2017/richdata2" ref="A538:G567">
    <sortCondition ref="A574:A692"/>
  </sortState>
  <tableColumns count="7">
    <tableColumn id="7" xr3:uid="{E4A97868-27AD-45FF-903A-454E94CDEA3E}" name="Paper ID" dataDxfId="16"/>
    <tableColumn id="8" xr3:uid="{0B27E9D0-124F-43AA-B0D6-F67C9E6B71E7}" name="Year" dataDxfId="15"/>
    <tableColumn id="9" xr3:uid="{22D342EE-B65A-4E81-980D-05079D8D5D1E}" name="Authors" dataDxfId="14"/>
    <tableColumn id="10" xr3:uid="{AD3DA6E7-B291-4001-93DF-70F1501C4513}" name="Title" dataDxfId="13"/>
    <tableColumn id="11" xr3:uid="{F42D0E73-7D52-4EE3-B8F4-84FE6115A963}" name="Abstract" dataDxfId="12"/>
    <tableColumn id="14" xr3:uid="{9C941F83-35DE-4FE7-BA93-F534CAED9033}" name=" Filtering Reviewer 1" dataDxfId="11"/>
    <tableColumn id="15" xr3:uid="{49B1DB59-B201-4F84-AE1A-61A49607913C}" name="Filtering Reviewer 2" dataDxfId="10"/>
  </tableColumns>
  <tableStyleInfo name="TableStyleMedium2"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672D9914-8BFA-4BC8-9A92-708430F2218D}" name="Table1416192122232425263031" displayName="Table1416192122232425263031" ref="A573:G587" totalsRowShown="0" headerRowDxfId="9" dataDxfId="8" tableBorderDxfId="7">
  <autoFilter ref="A573:G587" xr:uid="{672D9914-8BFA-4BC8-9A92-708430F2218D}"/>
  <sortState xmlns:xlrd2="http://schemas.microsoft.com/office/spreadsheetml/2017/richdata2" ref="A574:G575">
    <sortCondition ref="A574:A576"/>
  </sortState>
  <tableColumns count="7">
    <tableColumn id="7" xr3:uid="{CC2C57D4-DBD4-4EE9-AC86-8569CE2F1F35}" name="Paper ID" dataDxfId="6">
      <calculatedColumnFormula>SUM(A573,1)</calculatedColumnFormula>
    </tableColumn>
    <tableColumn id="8" xr3:uid="{D23AEC35-1BC0-4E54-BB4A-0F4CC24781D4}" name="Year" dataDxfId="5"/>
    <tableColumn id="9" xr3:uid="{B35DA8F7-DD24-4896-8F29-CD179B61ED0C}" name="Authors" dataDxfId="4"/>
    <tableColumn id="10" xr3:uid="{E70B5613-B6B1-4A7B-98B6-1E8D35E75F08}" name="Title" dataDxfId="3"/>
    <tableColumn id="11" xr3:uid="{1446CD77-2D57-41E1-A52E-0470E918F4F1}" name="Abstract" dataDxfId="2"/>
    <tableColumn id="14" xr3:uid="{565E8278-6C54-44F5-969D-1FA678B07EC6}" name=" Filtering Reviewer 1" dataDxfId="1"/>
    <tableColumn id="15" xr3:uid="{06DB3779-3358-4B2D-8A78-0EC534C5257B}" name="Filtering Reviewer 2"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b:/g/personal/giacomo_valente_univaq_it/EZCT6jLD_jFPo2M59tp54CoB2691sv0qahctF4tZpu245g?e=rmIfVn" TargetMode="External"/><Relationship Id="rId13" Type="http://schemas.openxmlformats.org/officeDocument/2006/relationships/hyperlink" Target="../../../../../../../../../../:b:/g/personal/giacomo_valente_univaq_it/IQARMjOSgopJRqNoxr-eAN4KAfyf3CdAm-dct4DDL5ARVBM?e=uCd2Va" TargetMode="External"/><Relationship Id="rId18" Type="http://schemas.openxmlformats.org/officeDocument/2006/relationships/table" Target="../tables/table4.xml"/><Relationship Id="rId26" Type="http://schemas.openxmlformats.org/officeDocument/2006/relationships/table" Target="../tables/table12.xml"/><Relationship Id="rId3" Type="http://schemas.openxmlformats.org/officeDocument/2006/relationships/hyperlink" Target="../../../../../../../../../../:b:/g/personal/giacomo_valente_univaq_it/ETPG0B5McudPirNtZnnc-2QB37M3WwPiL4B2I0xnp7nbhg?e=LGFxpv" TargetMode="External"/><Relationship Id="rId21" Type="http://schemas.openxmlformats.org/officeDocument/2006/relationships/table" Target="../tables/table7.xml"/><Relationship Id="rId7" Type="http://schemas.openxmlformats.org/officeDocument/2006/relationships/hyperlink" Target="../../../../../../../../../../:b:/g/personal/giacomo_valente_univaq_it/EZjKW-HD1_lEvBUSvJkj7zcBwkLmrFeGmOP35tgsgZiaZw?e=SuD6Ju" TargetMode="External"/><Relationship Id="rId12" Type="http://schemas.openxmlformats.org/officeDocument/2006/relationships/hyperlink" Target="../../../../../../../../../../:b:/g/personal/giacomo_valente_univaq_it/EfKKaDC0XxFCqTfZ3lr8mvwBrrNUjFEQNmdSl2vKsXIc-A?e=wtJRzU" TargetMode="External"/><Relationship Id="rId17" Type="http://schemas.openxmlformats.org/officeDocument/2006/relationships/table" Target="../tables/table3.xml"/><Relationship Id="rId25" Type="http://schemas.openxmlformats.org/officeDocument/2006/relationships/table" Target="../tables/table11.xml"/><Relationship Id="rId2" Type="http://schemas.openxmlformats.org/officeDocument/2006/relationships/hyperlink" Target="../../../../../../../../../../:b:/g/personal/giacomo_valente_univaq_it/EXSkrevHIIxPsE7Y3gKc838BPdLu2CCLfDpD0EzecV-Ctw?e=g0Sgve" TargetMode="External"/><Relationship Id="rId16" Type="http://schemas.openxmlformats.org/officeDocument/2006/relationships/table" Target="../tables/table2.xml"/><Relationship Id="rId20" Type="http://schemas.openxmlformats.org/officeDocument/2006/relationships/table" Target="../tables/table6.xml"/><Relationship Id="rId29" Type="http://schemas.openxmlformats.org/officeDocument/2006/relationships/table" Target="../tables/table15.xml"/><Relationship Id="rId1" Type="http://schemas.openxmlformats.org/officeDocument/2006/relationships/hyperlink" Target="../../../../../../../../../../:b:/g/personal/giacomo_valente_univaq_it/EVU6RNnDhBNGqYID0ldr4kUBHW_zOMMcXd2ocDNB1xozUg?e=gEXeb6" TargetMode="External"/><Relationship Id="rId6" Type="http://schemas.openxmlformats.org/officeDocument/2006/relationships/hyperlink" Target="../../../../../../../../../../:b:/g/personal/giacomo_valente_univaq_it/EbUmy-nl9_1BoxKWHraaC3gBrokcnxQTBQtB7R9bFhHk0A?e=lfGBjj" TargetMode="External"/><Relationship Id="rId11" Type="http://schemas.openxmlformats.org/officeDocument/2006/relationships/hyperlink" Target="../../../../../../../../../../:b:/g/personal/giacomo_valente_univaq_it/IQC7nwhzEo91Q6DczfK6Saf6ASTk7PTe5a8wnIg4qH3r3Kk?e=DEdi4o" TargetMode="External"/><Relationship Id="rId24" Type="http://schemas.openxmlformats.org/officeDocument/2006/relationships/table" Target="../tables/table10.xml"/><Relationship Id="rId5" Type="http://schemas.openxmlformats.org/officeDocument/2006/relationships/hyperlink" Target="../../../../../../../../../../:b:/g/personal/giacomo_valente_univaq_it/ERJQtN8ijetMvKJcJbblUCABqKrv-lhFU5Rhf-hvJZ78-w?e=DLDtkd" TargetMode="External"/><Relationship Id="rId15" Type="http://schemas.openxmlformats.org/officeDocument/2006/relationships/table" Target="../tables/table1.xml"/><Relationship Id="rId23" Type="http://schemas.openxmlformats.org/officeDocument/2006/relationships/table" Target="../tables/table9.xml"/><Relationship Id="rId28" Type="http://schemas.openxmlformats.org/officeDocument/2006/relationships/table" Target="../tables/table14.xml"/><Relationship Id="rId10" Type="http://schemas.openxmlformats.org/officeDocument/2006/relationships/hyperlink" Target="../../../../../../../../../../:b:/g/personal/giacomo_valente_univaq_it/EbPpjSjTH7lEh8qz3Be0UMsB5YBXvz-TeWJLHH1iFIGmqA?e=7tmNoG" TargetMode="External"/><Relationship Id="rId19" Type="http://schemas.openxmlformats.org/officeDocument/2006/relationships/table" Target="../tables/table5.xml"/><Relationship Id="rId4" Type="http://schemas.openxmlformats.org/officeDocument/2006/relationships/hyperlink" Target="../../../../../../../../../../:b:/g/personal/giacomo_valente_univaq_it/EVL14rKOlMBHlmWhfwyUlEMBJuMCjRyYnYbT6Q0yeTC1Rw?e=1QXxSF" TargetMode="External"/><Relationship Id="rId9" Type="http://schemas.openxmlformats.org/officeDocument/2006/relationships/hyperlink" Target="../../../../../../../../../../:b:/g/personal/giacomo_valente_univaq_it/ESWt5h_SYqVNmfolHyRo9ncBtzEznIu9OxaVrLIHAQ4qlw?e=WIjznp" TargetMode="External"/><Relationship Id="rId14" Type="http://schemas.openxmlformats.org/officeDocument/2006/relationships/hyperlink" Target="../../../../../../../../../../:b:/g/personal/giacomo_valente_univaq_it/IQD0zAaRBzbpRJISJp7N7uDGAbHgOSLhlXSi1DumqJAYZ00?e=7f7EeK" TargetMode="External"/><Relationship Id="rId22" Type="http://schemas.openxmlformats.org/officeDocument/2006/relationships/table" Target="../tables/table8.xml"/><Relationship Id="rId27" Type="http://schemas.openxmlformats.org/officeDocument/2006/relationships/table" Target="../tables/table1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H940"/>
  <sheetViews>
    <sheetView tabSelected="1" zoomScale="70" zoomScaleNormal="70" workbookViewId="0">
      <selection activeCell="G3" sqref="G3"/>
    </sheetView>
  </sheetViews>
  <sheetFormatPr defaultRowHeight="14.4" x14ac:dyDescent="0.3"/>
  <cols>
    <col min="1" max="6" width="50.6640625" customWidth="1"/>
    <col min="7" max="9" width="40.6640625" customWidth="1"/>
    <col min="10" max="10" width="60.6640625" customWidth="1"/>
    <col min="11" max="11" width="40.6640625" style="175" customWidth="1"/>
    <col min="12" max="16" width="40.6640625" customWidth="1"/>
  </cols>
  <sheetData>
    <row r="1" spans="1:23" ht="100.2" customHeight="1" thickBot="1" x14ac:dyDescent="0.35">
      <c r="A1" s="216" t="s">
        <v>1734</v>
      </c>
      <c r="B1" s="216"/>
      <c r="C1" s="216"/>
      <c r="D1" s="216"/>
      <c r="E1" s="216"/>
      <c r="F1" s="216"/>
      <c r="G1" s="216"/>
      <c r="H1" s="216"/>
      <c r="I1" s="216"/>
      <c r="J1" s="216"/>
      <c r="K1" s="216"/>
      <c r="L1" s="216"/>
      <c r="M1" s="216"/>
      <c r="N1" s="216"/>
      <c r="O1" s="216"/>
      <c r="P1" s="216"/>
    </row>
    <row r="2" spans="1:23" s="4" customFormat="1" ht="30" customHeight="1" x14ac:dyDescent="0.45">
      <c r="A2" s="1" t="s">
        <v>0</v>
      </c>
      <c r="B2" s="2" t="s">
        <v>1</v>
      </c>
      <c r="C2" s="2" t="s">
        <v>2</v>
      </c>
      <c r="D2" s="2" t="s">
        <v>3</v>
      </c>
      <c r="E2" s="2" t="s">
        <v>4</v>
      </c>
      <c r="F2" s="3" t="s">
        <v>5</v>
      </c>
      <c r="H2" s="184"/>
      <c r="I2" s="184"/>
      <c r="J2" s="184"/>
      <c r="K2" s="194"/>
      <c r="L2" s="184"/>
      <c r="M2" s="184"/>
      <c r="N2" s="184"/>
      <c r="O2" s="184"/>
      <c r="P2" s="184"/>
      <c r="Q2" s="184"/>
      <c r="R2" s="184"/>
      <c r="S2" s="184"/>
      <c r="T2" s="184"/>
      <c r="U2" s="184"/>
      <c r="V2" s="184"/>
      <c r="W2" s="184"/>
    </row>
    <row r="3" spans="1:23" s="9" customFormat="1" ht="100.2" customHeight="1" thickBot="1" x14ac:dyDescent="0.5">
      <c r="A3" s="5">
        <v>82</v>
      </c>
      <c r="B3" s="6">
        <v>2025</v>
      </c>
      <c r="C3" s="6" t="s">
        <v>6</v>
      </c>
      <c r="D3" s="6" t="s">
        <v>7</v>
      </c>
      <c r="E3" s="7" t="s">
        <v>8</v>
      </c>
      <c r="F3" s="8" t="s">
        <v>9</v>
      </c>
      <c r="H3" s="184"/>
      <c r="I3" s="184"/>
      <c r="J3" s="184"/>
      <c r="K3" s="194"/>
      <c r="L3" s="184"/>
      <c r="M3" s="184"/>
      <c r="N3" s="184"/>
      <c r="O3" s="184"/>
      <c r="P3" s="184"/>
      <c r="Q3" s="184"/>
      <c r="R3" s="184"/>
      <c r="S3" s="184"/>
      <c r="T3" s="184"/>
      <c r="U3" s="184"/>
      <c r="V3" s="184"/>
      <c r="W3" s="184"/>
    </row>
    <row r="4" spans="1:23" s="11" customFormat="1" ht="73.95" customHeight="1" x14ac:dyDescent="0.3">
      <c r="A4" s="217" t="s">
        <v>10</v>
      </c>
      <c r="B4" s="218"/>
      <c r="C4" s="218"/>
      <c r="D4" s="218"/>
      <c r="E4" s="219"/>
      <c r="F4" s="223" t="s">
        <v>1733</v>
      </c>
      <c r="G4" s="223"/>
      <c r="H4" s="176"/>
      <c r="I4" s="177"/>
      <c r="J4" s="132"/>
      <c r="K4" s="195"/>
      <c r="L4" s="195"/>
      <c r="M4" s="132"/>
      <c r="N4" s="195"/>
      <c r="O4" s="195"/>
      <c r="P4" s="195"/>
      <c r="Q4" s="12"/>
      <c r="R4" s="12"/>
      <c r="S4" s="195"/>
      <c r="T4" s="12"/>
      <c r="U4" s="12"/>
      <c r="V4" s="195"/>
      <c r="W4" s="12"/>
    </row>
    <row r="5" spans="1:23" s="11" customFormat="1" ht="120" customHeight="1" x14ac:dyDescent="0.3">
      <c r="A5" s="220"/>
      <c r="B5" s="221"/>
      <c r="C5" s="221"/>
      <c r="D5" s="221"/>
      <c r="E5" s="222"/>
      <c r="F5" s="224"/>
      <c r="G5" s="224"/>
      <c r="H5" s="178"/>
      <c r="I5" s="179"/>
      <c r="J5" s="186"/>
      <c r="K5" s="196"/>
      <c r="L5" s="196"/>
      <c r="M5" s="196"/>
      <c r="N5" s="12"/>
      <c r="O5" s="12"/>
      <c r="P5" s="196"/>
      <c r="Q5" s="12"/>
      <c r="R5" s="12"/>
      <c r="S5" s="196"/>
      <c r="T5" s="12"/>
      <c r="U5" s="12"/>
      <c r="V5" s="12"/>
      <c r="W5" s="12"/>
    </row>
    <row r="6" spans="1:23" s="13" customFormat="1" ht="49.95" customHeight="1" thickBot="1" x14ac:dyDescent="0.35">
      <c r="A6" s="220"/>
      <c r="B6" s="221"/>
      <c r="C6" s="221"/>
      <c r="D6" s="221"/>
      <c r="E6" s="222"/>
      <c r="F6" s="224"/>
      <c r="G6" s="224"/>
      <c r="H6" s="180"/>
      <c r="I6" s="181"/>
      <c r="J6" s="197"/>
      <c r="K6" s="198"/>
      <c r="L6" s="198"/>
      <c r="M6" s="197"/>
      <c r="N6" s="198"/>
      <c r="O6" s="198"/>
      <c r="P6" s="198"/>
      <c r="Q6" s="14"/>
      <c r="R6" s="14"/>
      <c r="S6" s="198"/>
      <c r="T6" s="14"/>
      <c r="U6" s="14"/>
      <c r="V6" s="198"/>
      <c r="W6" s="14"/>
    </row>
    <row r="7" spans="1:23" s="11" customFormat="1" ht="49.95" customHeight="1" x14ac:dyDescent="0.3">
      <c r="A7" s="15" t="s">
        <v>12</v>
      </c>
      <c r="B7" s="16" t="s">
        <v>13</v>
      </c>
      <c r="C7" s="16" t="s">
        <v>14</v>
      </c>
      <c r="D7" s="16" t="s">
        <v>15</v>
      </c>
      <c r="E7" s="17" t="s">
        <v>16</v>
      </c>
      <c r="F7" s="15" t="s">
        <v>1735</v>
      </c>
      <c r="G7" s="16" t="s">
        <v>1736</v>
      </c>
      <c r="H7" s="12"/>
      <c r="I7" s="12"/>
      <c r="J7" s="12"/>
      <c r="K7" s="12"/>
      <c r="L7" s="12"/>
      <c r="M7" s="12"/>
      <c r="N7" s="12"/>
      <c r="O7" s="12"/>
      <c r="P7" s="12"/>
      <c r="Q7" s="12"/>
      <c r="R7" s="12"/>
      <c r="S7" s="12"/>
      <c r="T7" s="12"/>
      <c r="U7" s="12"/>
      <c r="V7" s="12"/>
      <c r="W7" s="12"/>
    </row>
    <row r="8" spans="1:23" s="12" customFormat="1" ht="100.2" customHeight="1" x14ac:dyDescent="0.3">
      <c r="A8" s="18">
        <v>638</v>
      </c>
      <c r="B8" s="19">
        <v>2018</v>
      </c>
      <c r="C8" s="19" t="s">
        <v>20</v>
      </c>
      <c r="D8" s="19" t="s">
        <v>21</v>
      </c>
      <c r="E8" s="20"/>
      <c r="F8" s="22"/>
      <c r="G8" s="23"/>
    </row>
    <row r="9" spans="1:23" s="12" customFormat="1" ht="184.8" x14ac:dyDescent="0.25">
      <c r="A9" s="18">
        <f>SUM(A8,1)</f>
        <v>639</v>
      </c>
      <c r="B9" s="19">
        <v>2018</v>
      </c>
      <c r="C9" s="19" t="s">
        <v>22</v>
      </c>
      <c r="D9" s="19" t="s">
        <v>23</v>
      </c>
      <c r="E9" s="24" t="s">
        <v>24</v>
      </c>
      <c r="F9" s="25" t="s">
        <v>1702</v>
      </c>
      <c r="G9" s="23"/>
    </row>
    <row r="10" spans="1:23" s="12" customFormat="1" ht="100.2" customHeight="1" x14ac:dyDescent="0.3">
      <c r="A10" s="18">
        <f>SUM(A9,1)</f>
        <v>640</v>
      </c>
      <c r="B10" s="19">
        <v>2020</v>
      </c>
      <c r="C10" s="19" t="s">
        <v>25</v>
      </c>
      <c r="D10" s="19" t="s">
        <v>26</v>
      </c>
      <c r="E10" s="26"/>
      <c r="F10" s="29" t="s">
        <v>1703</v>
      </c>
      <c r="G10" s="23"/>
    </row>
    <row r="11" spans="1:23" s="12" customFormat="1" ht="100.2" customHeight="1" x14ac:dyDescent="0.3">
      <c r="A11" s="18">
        <f t="shared" ref="A11:A46" si="0">SUM(A10,1)</f>
        <v>641</v>
      </c>
      <c r="B11" s="19">
        <v>2016</v>
      </c>
      <c r="C11" s="19" t="s">
        <v>27</v>
      </c>
      <c r="D11" s="19" t="s">
        <v>28</v>
      </c>
      <c r="E11" s="20"/>
      <c r="F11" s="30" t="s">
        <v>29</v>
      </c>
      <c r="G11" s="23"/>
    </row>
    <row r="12" spans="1:23" s="12" customFormat="1" ht="100.2" customHeight="1" x14ac:dyDescent="0.25">
      <c r="A12" s="18">
        <f t="shared" si="0"/>
        <v>642</v>
      </c>
      <c r="B12" s="19">
        <v>2022</v>
      </c>
      <c r="C12" s="19" t="s">
        <v>30</v>
      </c>
      <c r="D12" s="19" t="s">
        <v>31</v>
      </c>
      <c r="E12" s="31" t="s">
        <v>32</v>
      </c>
      <c r="F12" s="25" t="s">
        <v>1704</v>
      </c>
      <c r="G12" s="23"/>
    </row>
    <row r="13" spans="1:23" s="12" customFormat="1" ht="100.2" customHeight="1" x14ac:dyDescent="0.3">
      <c r="A13" s="18">
        <f t="shared" si="0"/>
        <v>643</v>
      </c>
      <c r="B13" s="19">
        <v>2024</v>
      </c>
      <c r="C13" s="19" t="s">
        <v>33</v>
      </c>
      <c r="D13" s="19" t="s">
        <v>34</v>
      </c>
      <c r="E13" s="32"/>
      <c r="F13" s="33" t="s">
        <v>1705</v>
      </c>
      <c r="G13" s="23"/>
    </row>
    <row r="14" spans="1:23" s="12" customFormat="1" ht="100.2" customHeight="1" x14ac:dyDescent="0.3">
      <c r="A14" s="18">
        <f t="shared" si="0"/>
        <v>644</v>
      </c>
      <c r="B14" s="19">
        <v>2023</v>
      </c>
      <c r="C14" s="19" t="s">
        <v>35</v>
      </c>
      <c r="D14" s="19" t="s">
        <v>36</v>
      </c>
      <c r="E14" s="34" t="s">
        <v>37</v>
      </c>
      <c r="F14" s="35" t="s">
        <v>38</v>
      </c>
      <c r="G14" s="23"/>
    </row>
    <row r="15" spans="1:23" s="12" customFormat="1" ht="100.2" customHeight="1" x14ac:dyDescent="0.3">
      <c r="A15" s="18">
        <f t="shared" si="0"/>
        <v>645</v>
      </c>
      <c r="B15" s="19">
        <v>2018</v>
      </c>
      <c r="C15" s="19" t="s">
        <v>39</v>
      </c>
      <c r="D15" s="19" t="s">
        <v>40</v>
      </c>
      <c r="E15" s="26"/>
      <c r="F15" s="29" t="s">
        <v>1706</v>
      </c>
      <c r="G15" s="23"/>
    </row>
    <row r="16" spans="1:23" s="12" customFormat="1" ht="100.2" customHeight="1" x14ac:dyDescent="0.3">
      <c r="A16" s="18">
        <f t="shared" si="0"/>
        <v>646</v>
      </c>
      <c r="B16" s="19">
        <v>2017</v>
      </c>
      <c r="C16" s="19" t="s">
        <v>41</v>
      </c>
      <c r="D16" s="19" t="s">
        <v>42</v>
      </c>
      <c r="E16" s="36" t="s">
        <v>43</v>
      </c>
      <c r="F16" s="25" t="s">
        <v>1707</v>
      </c>
      <c r="G16" s="23"/>
    </row>
    <row r="17" spans="1:7" s="12" customFormat="1" ht="100.2" customHeight="1" x14ac:dyDescent="0.3">
      <c r="A17" s="18">
        <f t="shared" si="0"/>
        <v>647</v>
      </c>
      <c r="B17" s="19">
        <v>2019</v>
      </c>
      <c r="C17" s="19" t="s">
        <v>44</v>
      </c>
      <c r="D17" s="19" t="s">
        <v>45</v>
      </c>
      <c r="E17" s="32"/>
      <c r="F17" s="37"/>
      <c r="G17" s="38"/>
    </row>
    <row r="18" spans="1:7" s="12" customFormat="1" ht="100.2" customHeight="1" x14ac:dyDescent="0.25">
      <c r="A18" s="18">
        <f t="shared" si="0"/>
        <v>648</v>
      </c>
      <c r="B18" s="19">
        <v>2019</v>
      </c>
      <c r="C18" s="19" t="s">
        <v>46</v>
      </c>
      <c r="D18" s="19" t="s">
        <v>47</v>
      </c>
      <c r="E18" s="39" t="s">
        <v>48</v>
      </c>
      <c r="F18" s="40" t="s">
        <v>49</v>
      </c>
      <c r="G18" s="23"/>
    </row>
    <row r="19" spans="1:7" s="12" customFormat="1" ht="100.2" customHeight="1" x14ac:dyDescent="0.3">
      <c r="A19" s="18">
        <f t="shared" si="0"/>
        <v>649</v>
      </c>
      <c r="B19" s="19">
        <v>2018</v>
      </c>
      <c r="C19" s="19" t="s">
        <v>41</v>
      </c>
      <c r="D19" s="19" t="s">
        <v>50</v>
      </c>
      <c r="E19" s="36" t="s">
        <v>51</v>
      </c>
      <c r="F19" s="25" t="s">
        <v>1707</v>
      </c>
      <c r="G19" s="23"/>
    </row>
    <row r="20" spans="1:7" s="12" customFormat="1" ht="100.2" customHeight="1" x14ac:dyDescent="0.3">
      <c r="A20" s="18">
        <f t="shared" si="0"/>
        <v>650</v>
      </c>
      <c r="B20" s="19">
        <v>2019</v>
      </c>
      <c r="C20" s="19" t="s">
        <v>52</v>
      </c>
      <c r="D20" s="19" t="s">
        <v>53</v>
      </c>
      <c r="E20" s="36" t="s">
        <v>54</v>
      </c>
      <c r="F20" s="40" t="s">
        <v>49</v>
      </c>
      <c r="G20" s="23"/>
    </row>
    <row r="21" spans="1:7" s="12" customFormat="1" ht="100.2" customHeight="1" x14ac:dyDescent="0.3">
      <c r="A21" s="18">
        <f t="shared" si="0"/>
        <v>651</v>
      </c>
      <c r="B21" s="19">
        <v>2018</v>
      </c>
      <c r="C21" s="19" t="s">
        <v>55</v>
      </c>
      <c r="D21" s="19" t="s">
        <v>56</v>
      </c>
      <c r="E21" s="26"/>
      <c r="F21" s="29" t="s">
        <v>1706</v>
      </c>
      <c r="G21" s="23"/>
    </row>
    <row r="22" spans="1:7" s="12" customFormat="1" ht="100.2" customHeight="1" x14ac:dyDescent="0.3">
      <c r="A22" s="18">
        <f t="shared" si="0"/>
        <v>652</v>
      </c>
      <c r="B22" s="19">
        <v>2020</v>
      </c>
      <c r="C22" s="19" t="s">
        <v>57</v>
      </c>
      <c r="D22" s="19" t="s">
        <v>58</v>
      </c>
      <c r="E22" s="32"/>
      <c r="F22" s="37"/>
      <c r="G22" s="38" t="s">
        <v>59</v>
      </c>
    </row>
    <row r="23" spans="1:7" s="12" customFormat="1" ht="100.2" customHeight="1" x14ac:dyDescent="0.3">
      <c r="A23" s="18">
        <f t="shared" si="0"/>
        <v>653</v>
      </c>
      <c r="B23" s="19">
        <v>2019</v>
      </c>
      <c r="C23" s="19" t="s">
        <v>60</v>
      </c>
      <c r="D23" s="19" t="s">
        <v>61</v>
      </c>
      <c r="E23" s="26"/>
      <c r="F23" s="29" t="s">
        <v>1706</v>
      </c>
      <c r="G23" s="23"/>
    </row>
    <row r="24" spans="1:7" s="12" customFormat="1" ht="100.2" customHeight="1" x14ac:dyDescent="0.3">
      <c r="A24" s="18">
        <f t="shared" si="0"/>
        <v>654</v>
      </c>
      <c r="B24" s="19">
        <v>2023</v>
      </c>
      <c r="C24" s="19" t="s">
        <v>62</v>
      </c>
      <c r="D24" s="19" t="s">
        <v>63</v>
      </c>
      <c r="E24" s="32"/>
      <c r="F24" s="37"/>
      <c r="G24" s="41" t="s">
        <v>64</v>
      </c>
    </row>
    <row r="25" spans="1:7" s="12" customFormat="1" ht="100.2" customHeight="1" x14ac:dyDescent="0.3">
      <c r="A25" s="18">
        <f t="shared" si="0"/>
        <v>655</v>
      </c>
      <c r="B25" s="19">
        <v>2014</v>
      </c>
      <c r="C25" s="19" t="s">
        <v>65</v>
      </c>
      <c r="D25" s="19" t="s">
        <v>66</v>
      </c>
      <c r="E25" s="26"/>
      <c r="F25" s="42" t="s">
        <v>67</v>
      </c>
      <c r="G25" s="23"/>
    </row>
    <row r="26" spans="1:7" s="12" customFormat="1" ht="100.2" customHeight="1" x14ac:dyDescent="0.3">
      <c r="A26" s="18">
        <f t="shared" si="0"/>
        <v>656</v>
      </c>
      <c r="B26" s="19">
        <v>2022</v>
      </c>
      <c r="C26" s="19" t="s">
        <v>68</v>
      </c>
      <c r="D26" s="19" t="s">
        <v>69</v>
      </c>
      <c r="E26" s="32"/>
      <c r="F26" s="37"/>
      <c r="G26" s="43" t="s">
        <v>70</v>
      </c>
    </row>
    <row r="27" spans="1:7" s="12" customFormat="1" ht="100.2" customHeight="1" x14ac:dyDescent="0.3">
      <c r="A27" s="18">
        <f t="shared" si="0"/>
        <v>657</v>
      </c>
      <c r="B27" s="19">
        <v>2017</v>
      </c>
      <c r="C27" s="19" t="s">
        <v>71</v>
      </c>
      <c r="D27" s="19" t="s">
        <v>72</v>
      </c>
      <c r="E27" s="26"/>
      <c r="F27" s="29" t="s">
        <v>1706</v>
      </c>
      <c r="G27" s="23"/>
    </row>
    <row r="28" spans="1:7" s="12" customFormat="1" ht="100.2" customHeight="1" x14ac:dyDescent="0.3">
      <c r="A28" s="18">
        <f t="shared" si="0"/>
        <v>658</v>
      </c>
      <c r="B28" s="19">
        <v>2023</v>
      </c>
      <c r="C28" s="19" t="s">
        <v>73</v>
      </c>
      <c r="D28" s="19" t="s">
        <v>74</v>
      </c>
      <c r="E28" s="32"/>
      <c r="F28" s="37"/>
      <c r="G28" s="43" t="s">
        <v>70</v>
      </c>
    </row>
    <row r="29" spans="1:7" s="12" customFormat="1" ht="100.2" customHeight="1" x14ac:dyDescent="0.3">
      <c r="A29" s="18">
        <f t="shared" si="0"/>
        <v>659</v>
      </c>
      <c r="B29" s="19">
        <v>2022</v>
      </c>
      <c r="C29" s="19" t="s">
        <v>75</v>
      </c>
      <c r="D29" s="19" t="s">
        <v>76</v>
      </c>
      <c r="E29" s="26"/>
      <c r="F29" s="29" t="s">
        <v>1706</v>
      </c>
      <c r="G29" s="23"/>
    </row>
    <row r="30" spans="1:7" s="12" customFormat="1" ht="100.2" customHeight="1" x14ac:dyDescent="0.3">
      <c r="A30" s="18">
        <f t="shared" si="0"/>
        <v>660</v>
      </c>
      <c r="B30" s="19">
        <v>2019</v>
      </c>
      <c r="C30" s="19" t="s">
        <v>77</v>
      </c>
      <c r="D30" s="19" t="s">
        <v>78</v>
      </c>
      <c r="E30" s="32"/>
      <c r="F30" s="37"/>
      <c r="G30" s="43" t="s">
        <v>70</v>
      </c>
    </row>
    <row r="31" spans="1:7" s="12" customFormat="1" ht="100.2" customHeight="1" x14ac:dyDescent="0.3">
      <c r="A31" s="18">
        <f t="shared" si="0"/>
        <v>661</v>
      </c>
      <c r="B31" s="19">
        <v>2022</v>
      </c>
      <c r="C31" s="19" t="s">
        <v>79</v>
      </c>
      <c r="D31" s="19" t="s">
        <v>80</v>
      </c>
      <c r="E31" s="26"/>
      <c r="F31" s="29" t="s">
        <v>1706</v>
      </c>
      <c r="G31" s="23"/>
    </row>
    <row r="32" spans="1:7" s="12" customFormat="1" ht="100.2" customHeight="1" x14ac:dyDescent="0.3">
      <c r="A32" s="18">
        <f t="shared" si="0"/>
        <v>662</v>
      </c>
      <c r="B32" s="19">
        <v>2017</v>
      </c>
      <c r="C32" s="19" t="s">
        <v>81</v>
      </c>
      <c r="D32" s="19" t="s">
        <v>82</v>
      </c>
      <c r="E32" s="32"/>
      <c r="F32" s="37"/>
      <c r="G32" s="43" t="s">
        <v>70</v>
      </c>
    </row>
    <row r="33" spans="1:23" s="12" customFormat="1" ht="100.2" customHeight="1" x14ac:dyDescent="0.3">
      <c r="A33" s="18">
        <f t="shared" si="0"/>
        <v>663</v>
      </c>
      <c r="B33" s="19">
        <v>2011</v>
      </c>
      <c r="C33" s="19" t="s">
        <v>83</v>
      </c>
      <c r="D33" s="19" t="s">
        <v>84</v>
      </c>
      <c r="E33" s="26"/>
      <c r="F33" s="42" t="s">
        <v>67</v>
      </c>
      <c r="G33" s="23"/>
    </row>
    <row r="34" spans="1:23" s="12" customFormat="1" ht="100.2" customHeight="1" x14ac:dyDescent="0.3">
      <c r="A34" s="18">
        <f t="shared" si="0"/>
        <v>664</v>
      </c>
      <c r="B34" s="19">
        <v>2022</v>
      </c>
      <c r="C34" s="19" t="s">
        <v>85</v>
      </c>
      <c r="D34" s="19" t="s">
        <v>86</v>
      </c>
      <c r="E34" s="32"/>
      <c r="F34" s="37"/>
      <c r="G34" s="43" t="s">
        <v>70</v>
      </c>
    </row>
    <row r="35" spans="1:23" s="12" customFormat="1" ht="100.2" customHeight="1" x14ac:dyDescent="0.3">
      <c r="A35" s="18">
        <f t="shared" si="0"/>
        <v>665</v>
      </c>
      <c r="B35" s="19">
        <v>2018</v>
      </c>
      <c r="C35" s="19" t="s">
        <v>87</v>
      </c>
      <c r="D35" s="19" t="s">
        <v>88</v>
      </c>
      <c r="E35" s="26"/>
      <c r="F35" s="29" t="s">
        <v>1706</v>
      </c>
      <c r="G35" s="23"/>
    </row>
    <row r="36" spans="1:23" s="12" customFormat="1" ht="100.2" customHeight="1" x14ac:dyDescent="0.3">
      <c r="A36" s="18">
        <f t="shared" si="0"/>
        <v>666</v>
      </c>
      <c r="B36" s="19">
        <v>2024</v>
      </c>
      <c r="C36" s="19" t="s">
        <v>89</v>
      </c>
      <c r="D36" s="19" t="s">
        <v>90</v>
      </c>
      <c r="E36" s="32"/>
      <c r="F36" s="37"/>
      <c r="G36" s="43" t="s">
        <v>70</v>
      </c>
    </row>
    <row r="37" spans="1:23" s="12" customFormat="1" ht="100.2" customHeight="1" x14ac:dyDescent="0.3">
      <c r="A37" s="18">
        <f t="shared" si="0"/>
        <v>667</v>
      </c>
      <c r="B37" s="19">
        <v>2014</v>
      </c>
      <c r="C37" s="19" t="s">
        <v>91</v>
      </c>
      <c r="D37" s="19" t="s">
        <v>92</v>
      </c>
      <c r="E37" s="26"/>
      <c r="F37" s="42" t="s">
        <v>67</v>
      </c>
      <c r="G37" s="23"/>
    </row>
    <row r="38" spans="1:23" s="12" customFormat="1" ht="100.2" customHeight="1" x14ac:dyDescent="0.3">
      <c r="A38" s="18">
        <f t="shared" si="0"/>
        <v>668</v>
      </c>
      <c r="B38" s="19">
        <v>2017</v>
      </c>
      <c r="C38" s="19" t="s">
        <v>57</v>
      </c>
      <c r="D38" s="19" t="s">
        <v>93</v>
      </c>
      <c r="E38" s="32"/>
      <c r="F38" s="37"/>
      <c r="G38" s="43" t="s">
        <v>94</v>
      </c>
    </row>
    <row r="39" spans="1:23" s="12" customFormat="1" ht="100.2" customHeight="1" x14ac:dyDescent="0.3">
      <c r="A39" s="18">
        <f t="shared" si="0"/>
        <v>669</v>
      </c>
      <c r="B39" s="19">
        <v>2020</v>
      </c>
      <c r="C39" s="19" t="s">
        <v>95</v>
      </c>
      <c r="D39" s="19" t="s">
        <v>96</v>
      </c>
      <c r="E39" s="26"/>
      <c r="F39" s="29" t="s">
        <v>1706</v>
      </c>
      <c r="G39" s="23"/>
    </row>
    <row r="40" spans="1:23" s="12" customFormat="1" ht="100.2" customHeight="1" x14ac:dyDescent="0.3">
      <c r="A40" s="18">
        <f t="shared" si="0"/>
        <v>670</v>
      </c>
      <c r="B40" s="19">
        <v>2020</v>
      </c>
      <c r="C40" s="19" t="s">
        <v>97</v>
      </c>
      <c r="D40" s="19" t="s">
        <v>98</v>
      </c>
      <c r="E40" s="26"/>
      <c r="F40" s="29" t="s">
        <v>1706</v>
      </c>
      <c r="G40" s="23"/>
    </row>
    <row r="41" spans="1:23" s="12" customFormat="1" ht="100.2" customHeight="1" x14ac:dyDescent="0.3">
      <c r="A41" s="18">
        <f t="shared" si="0"/>
        <v>671</v>
      </c>
      <c r="B41" s="19">
        <v>2023</v>
      </c>
      <c r="C41" s="19" t="s">
        <v>99</v>
      </c>
      <c r="D41" s="19" t="s">
        <v>100</v>
      </c>
      <c r="E41" s="26"/>
      <c r="F41" s="29" t="s">
        <v>1706</v>
      </c>
      <c r="G41" s="23"/>
    </row>
    <row r="42" spans="1:23" s="12" customFormat="1" ht="100.2" customHeight="1" x14ac:dyDescent="0.3">
      <c r="A42" s="18">
        <f t="shared" si="0"/>
        <v>672</v>
      </c>
      <c r="B42" s="19">
        <v>2003</v>
      </c>
      <c r="C42" s="19" t="s">
        <v>101</v>
      </c>
      <c r="D42" s="19" t="s">
        <v>102</v>
      </c>
      <c r="E42" s="26"/>
      <c r="F42" s="42" t="s">
        <v>67</v>
      </c>
      <c r="G42" s="23"/>
    </row>
    <row r="43" spans="1:23" s="12" customFormat="1" ht="100.2" customHeight="1" x14ac:dyDescent="0.3">
      <c r="A43" s="18">
        <f t="shared" si="0"/>
        <v>673</v>
      </c>
      <c r="B43" s="19">
        <v>2019</v>
      </c>
      <c r="C43" s="19" t="s">
        <v>103</v>
      </c>
      <c r="D43" s="19" t="s">
        <v>104</v>
      </c>
      <c r="E43" s="26"/>
      <c r="F43" s="29" t="s">
        <v>1706</v>
      </c>
      <c r="G43" s="23"/>
    </row>
    <row r="44" spans="1:23" s="12" customFormat="1" ht="138" customHeight="1" x14ac:dyDescent="0.3">
      <c r="A44" s="18">
        <f t="shared" si="0"/>
        <v>674</v>
      </c>
      <c r="B44" s="19">
        <v>2022</v>
      </c>
      <c r="C44" s="19" t="s">
        <v>103</v>
      </c>
      <c r="D44" s="19" t="s">
        <v>105</v>
      </c>
      <c r="E44" s="26"/>
      <c r="F44" s="29" t="s">
        <v>1706</v>
      </c>
      <c r="G44" s="23"/>
    </row>
    <row r="45" spans="1:23" s="12" customFormat="1" ht="95.4" customHeight="1" x14ac:dyDescent="0.3">
      <c r="A45" s="18">
        <f t="shared" si="0"/>
        <v>675</v>
      </c>
      <c r="B45" s="19">
        <v>2024</v>
      </c>
      <c r="C45" s="19" t="s">
        <v>106</v>
      </c>
      <c r="D45" s="19" t="s">
        <v>107</v>
      </c>
      <c r="E45" s="26"/>
      <c r="F45" s="29" t="s">
        <v>1706</v>
      </c>
      <c r="G45" s="23"/>
    </row>
    <row r="46" spans="1:23" s="12" customFormat="1" ht="100.2" customHeight="1" x14ac:dyDescent="0.3">
      <c r="A46" s="18">
        <f t="shared" si="0"/>
        <v>676</v>
      </c>
      <c r="B46" s="19">
        <v>2025</v>
      </c>
      <c r="C46" s="19" t="s">
        <v>108</v>
      </c>
      <c r="D46" s="19" t="s">
        <v>109</v>
      </c>
      <c r="E46" s="26"/>
      <c r="F46" s="29" t="s">
        <v>1708</v>
      </c>
      <c r="G46" s="23"/>
    </row>
    <row r="47" spans="1:23" s="9" customFormat="1" ht="19.95" customHeight="1" x14ac:dyDescent="0.45">
      <c r="A47" s="44" t="s">
        <v>0</v>
      </c>
      <c r="B47" s="44" t="s">
        <v>1</v>
      </c>
      <c r="C47" s="44" t="s">
        <v>2</v>
      </c>
      <c r="D47" s="45" t="s">
        <v>3</v>
      </c>
      <c r="E47" s="45" t="s">
        <v>4</v>
      </c>
      <c r="F47" s="46" t="s">
        <v>5</v>
      </c>
      <c r="G47" s="47"/>
      <c r="H47" s="185"/>
      <c r="I47" s="185"/>
      <c r="J47" s="185"/>
      <c r="K47" s="187"/>
      <c r="L47" s="188"/>
      <c r="M47" s="189"/>
      <c r="N47" s="188"/>
      <c r="O47" s="185"/>
      <c r="P47" s="189"/>
      <c r="Q47" s="184"/>
      <c r="R47" s="184"/>
      <c r="S47" s="184"/>
      <c r="T47" s="184"/>
      <c r="U47" s="184"/>
      <c r="V47" s="184"/>
      <c r="W47" s="184"/>
    </row>
    <row r="48" spans="1:23" s="4" customFormat="1" ht="100.2" customHeight="1" x14ac:dyDescent="0.45">
      <c r="A48" s="49">
        <v>108</v>
      </c>
      <c r="B48" s="50">
        <v>2022</v>
      </c>
      <c r="C48" s="50" t="s">
        <v>110</v>
      </c>
      <c r="D48" s="51" t="s">
        <v>111</v>
      </c>
      <c r="E48" s="52" t="s">
        <v>112</v>
      </c>
      <c r="F48" s="53" t="s">
        <v>113</v>
      </c>
      <c r="G48" s="54"/>
      <c r="H48" s="185"/>
      <c r="I48" s="185"/>
      <c r="J48" s="185"/>
      <c r="K48" s="187"/>
      <c r="L48" s="188"/>
      <c r="M48" s="189"/>
      <c r="N48" s="188"/>
      <c r="O48" s="185"/>
      <c r="P48" s="189"/>
      <c r="Q48" s="184"/>
      <c r="R48" s="184"/>
      <c r="S48" s="184"/>
      <c r="T48" s="184"/>
      <c r="U48" s="184"/>
      <c r="V48" s="184"/>
      <c r="W48" s="184"/>
    </row>
    <row r="49" spans="1:23" s="4" customFormat="1" ht="100.2" customHeight="1" x14ac:dyDescent="0.45">
      <c r="A49" s="208" t="s">
        <v>10</v>
      </c>
      <c r="B49" s="209"/>
      <c r="C49" s="209"/>
      <c r="D49" s="209"/>
      <c r="E49" s="210"/>
      <c r="F49" s="199" t="s">
        <v>1733</v>
      </c>
      <c r="G49" s="200"/>
      <c r="H49" s="182"/>
      <c r="I49" s="183"/>
      <c r="J49" s="184"/>
      <c r="K49" s="184"/>
      <c r="L49" s="184"/>
      <c r="M49" s="184"/>
      <c r="N49" s="184"/>
      <c r="O49" s="184"/>
      <c r="P49" s="184"/>
      <c r="Q49" s="184"/>
      <c r="R49" s="184"/>
      <c r="S49" s="184"/>
      <c r="T49" s="184"/>
      <c r="U49" s="184"/>
      <c r="V49" s="184"/>
      <c r="W49" s="184"/>
    </row>
    <row r="50" spans="1:23" s="9" customFormat="1" ht="100.2" customHeight="1" x14ac:dyDescent="0.45">
      <c r="A50" s="208"/>
      <c r="B50" s="209"/>
      <c r="C50" s="209"/>
      <c r="D50" s="209"/>
      <c r="E50" s="210"/>
      <c r="F50" s="201"/>
      <c r="G50" s="202"/>
      <c r="H50" s="182"/>
      <c r="I50" s="183"/>
      <c r="J50" s="184"/>
      <c r="K50" s="184"/>
      <c r="L50" s="184"/>
      <c r="M50" s="184"/>
      <c r="N50" s="184"/>
      <c r="O50" s="184"/>
      <c r="P50" s="184"/>
      <c r="Q50" s="184"/>
      <c r="R50" s="184"/>
      <c r="S50" s="184"/>
      <c r="T50" s="184"/>
      <c r="U50" s="184"/>
      <c r="V50" s="184"/>
      <c r="W50" s="184"/>
    </row>
    <row r="51" spans="1:23" s="4" customFormat="1" ht="30" customHeight="1" x14ac:dyDescent="0.45">
      <c r="A51" s="208"/>
      <c r="B51" s="209"/>
      <c r="C51" s="209"/>
      <c r="D51" s="209"/>
      <c r="E51" s="210"/>
      <c r="F51" s="203"/>
      <c r="G51" s="204"/>
      <c r="H51" s="182"/>
      <c r="I51" s="183"/>
      <c r="J51" s="184"/>
      <c r="K51" s="184"/>
      <c r="L51" s="184"/>
      <c r="M51" s="184"/>
      <c r="N51" s="184"/>
      <c r="O51" s="184"/>
      <c r="P51" s="184"/>
      <c r="Q51" s="184"/>
      <c r="R51" s="184"/>
      <c r="S51" s="184"/>
      <c r="T51" s="184"/>
      <c r="U51" s="184"/>
      <c r="V51" s="184"/>
      <c r="W51" s="184"/>
    </row>
    <row r="52" spans="1:23" s="9" customFormat="1" ht="100.2" customHeight="1" x14ac:dyDescent="0.45">
      <c r="A52" s="56" t="s">
        <v>12</v>
      </c>
      <c r="B52" s="55" t="s">
        <v>13</v>
      </c>
      <c r="C52" s="55" t="s">
        <v>14</v>
      </c>
      <c r="D52" s="55" t="s">
        <v>15</v>
      </c>
      <c r="E52" s="57" t="s">
        <v>16</v>
      </c>
      <c r="F52" s="56" t="s">
        <v>1735</v>
      </c>
      <c r="G52" s="55" t="s">
        <v>1737</v>
      </c>
      <c r="H52" s="184"/>
      <c r="I52" s="184"/>
      <c r="J52" s="184"/>
      <c r="K52" s="184"/>
      <c r="L52" s="184"/>
      <c r="M52" s="184"/>
      <c r="N52" s="184"/>
      <c r="O52" s="184"/>
      <c r="P52" s="184"/>
      <c r="Q52" s="184"/>
      <c r="R52" s="184"/>
      <c r="S52" s="184"/>
      <c r="T52" s="184"/>
      <c r="U52" s="184"/>
      <c r="V52" s="184"/>
      <c r="W52" s="184"/>
    </row>
    <row r="53" spans="1:23" s="65" customFormat="1" ht="49.95" customHeight="1" thickBot="1" x14ac:dyDescent="0.35">
      <c r="A53" s="18">
        <f>SUM(A46,1)</f>
        <v>677</v>
      </c>
      <c r="B53" s="59">
        <v>2020</v>
      </c>
      <c r="C53" s="59" t="s">
        <v>114</v>
      </c>
      <c r="D53" s="59" t="s">
        <v>115</v>
      </c>
      <c r="E53" s="60"/>
      <c r="F53" s="63" t="s">
        <v>116</v>
      </c>
      <c r="G53" s="64" t="s">
        <v>117</v>
      </c>
    </row>
    <row r="54" spans="1:23" s="65" customFormat="1" ht="49.95" customHeight="1" thickBot="1" x14ac:dyDescent="0.35">
      <c r="A54" s="66">
        <f t="shared" ref="A54:A61" si="1">SUM(A53,1)</f>
        <v>678</v>
      </c>
      <c r="B54" s="59">
        <v>2019</v>
      </c>
      <c r="C54" s="59" t="s">
        <v>118</v>
      </c>
      <c r="D54" s="59" t="s">
        <v>119</v>
      </c>
      <c r="E54" s="60"/>
      <c r="F54" s="67"/>
      <c r="G54" s="68" t="s">
        <v>120</v>
      </c>
    </row>
    <row r="55" spans="1:23" s="65" customFormat="1" ht="49.95" customHeight="1" thickBot="1" x14ac:dyDescent="0.35">
      <c r="A55" s="66">
        <f t="shared" si="1"/>
        <v>679</v>
      </c>
      <c r="B55" s="59">
        <v>2019</v>
      </c>
      <c r="C55" s="59" t="s">
        <v>121</v>
      </c>
      <c r="D55" s="59" t="s">
        <v>122</v>
      </c>
      <c r="E55" s="69"/>
      <c r="F55" s="67"/>
      <c r="G55" s="68" t="s">
        <v>70</v>
      </c>
    </row>
    <row r="56" spans="1:23" s="65" customFormat="1" ht="49.95" customHeight="1" x14ac:dyDescent="0.3">
      <c r="A56" s="66">
        <f t="shared" si="1"/>
        <v>680</v>
      </c>
      <c r="B56" s="59">
        <v>2018</v>
      </c>
      <c r="C56" s="59" t="s">
        <v>123</v>
      </c>
      <c r="D56" s="59" t="s">
        <v>124</v>
      </c>
      <c r="E56" s="69"/>
      <c r="F56" s="70"/>
      <c r="G56" s="68" t="s">
        <v>70</v>
      </c>
    </row>
    <row r="57" spans="1:23" s="65" customFormat="1" ht="49.95" customHeight="1" thickBot="1" x14ac:dyDescent="0.35">
      <c r="A57" s="66">
        <f t="shared" si="1"/>
        <v>681</v>
      </c>
      <c r="B57" s="59">
        <v>2019</v>
      </c>
      <c r="C57" s="59" t="s">
        <v>125</v>
      </c>
      <c r="D57" s="59" t="s">
        <v>126</v>
      </c>
      <c r="E57" s="69"/>
      <c r="F57" s="71"/>
      <c r="G57" s="68" t="s">
        <v>127</v>
      </c>
    </row>
    <row r="58" spans="1:23" s="65" customFormat="1" ht="49.95" customHeight="1" thickBot="1" x14ac:dyDescent="0.35">
      <c r="A58" s="66">
        <f t="shared" si="1"/>
        <v>682</v>
      </c>
      <c r="B58" s="59">
        <v>2021</v>
      </c>
      <c r="C58" s="59" t="s">
        <v>128</v>
      </c>
      <c r="D58" s="59" t="s">
        <v>129</v>
      </c>
      <c r="E58" s="69"/>
      <c r="F58" s="67"/>
      <c r="G58" s="68" t="s">
        <v>70</v>
      </c>
    </row>
    <row r="59" spans="1:23" s="65" customFormat="1" ht="49.95" customHeight="1" thickBot="1" x14ac:dyDescent="0.35">
      <c r="A59" s="66">
        <f t="shared" si="1"/>
        <v>683</v>
      </c>
      <c r="B59" s="59">
        <v>2020</v>
      </c>
      <c r="C59" s="59" t="s">
        <v>130</v>
      </c>
      <c r="D59" s="59" t="s">
        <v>131</v>
      </c>
      <c r="E59" s="69"/>
      <c r="F59" s="72"/>
      <c r="G59" s="68" t="s">
        <v>70</v>
      </c>
    </row>
    <row r="60" spans="1:23" s="65" customFormat="1" ht="49.95" customHeight="1" x14ac:dyDescent="0.3">
      <c r="A60" s="66">
        <f t="shared" si="1"/>
        <v>684</v>
      </c>
      <c r="B60" s="59">
        <v>2021</v>
      </c>
      <c r="C60" s="59" t="s">
        <v>132</v>
      </c>
      <c r="D60" s="59" t="s">
        <v>133</v>
      </c>
      <c r="E60" s="69"/>
      <c r="F60" s="70"/>
      <c r="G60" s="68" t="s">
        <v>127</v>
      </c>
    </row>
    <row r="61" spans="1:23" s="65" customFormat="1" ht="49.95" customHeight="1" x14ac:dyDescent="0.3">
      <c r="A61" s="66">
        <f t="shared" si="1"/>
        <v>685</v>
      </c>
      <c r="B61" s="59">
        <v>2020</v>
      </c>
      <c r="C61" s="59" t="s">
        <v>134</v>
      </c>
      <c r="D61" s="59" t="s">
        <v>135</v>
      </c>
      <c r="E61" s="60"/>
      <c r="F61" s="73"/>
      <c r="G61" s="68" t="s">
        <v>70</v>
      </c>
    </row>
    <row r="62" spans="1:23" s="75" customFormat="1" ht="49.95" customHeight="1" x14ac:dyDescent="0.25">
      <c r="A62" s="66">
        <v>674</v>
      </c>
      <c r="B62" s="59">
        <v>2019</v>
      </c>
      <c r="C62" s="59" t="s">
        <v>136</v>
      </c>
      <c r="D62" s="59" t="s">
        <v>137</v>
      </c>
      <c r="E62" s="74" t="s">
        <v>138</v>
      </c>
      <c r="F62" s="63" t="s">
        <v>139</v>
      </c>
      <c r="G62" s="14"/>
    </row>
    <row r="63" spans="1:23" s="65" customFormat="1" ht="49.95" customHeight="1" x14ac:dyDescent="0.3">
      <c r="A63" s="66">
        <f>SUM(A62,1)</f>
        <v>675</v>
      </c>
      <c r="B63" s="59">
        <v>2019</v>
      </c>
      <c r="C63" s="59" t="s">
        <v>140</v>
      </c>
      <c r="D63" s="59" t="s">
        <v>141</v>
      </c>
      <c r="E63" s="76" t="s">
        <v>142</v>
      </c>
      <c r="F63" s="63" t="s">
        <v>49</v>
      </c>
      <c r="G63" s="14"/>
    </row>
    <row r="64" spans="1:23" s="77" customFormat="1" ht="49.95" customHeight="1" x14ac:dyDescent="0.3">
      <c r="A64" s="66">
        <v>675</v>
      </c>
      <c r="B64" s="59">
        <v>2018</v>
      </c>
      <c r="C64" s="59" t="s">
        <v>143</v>
      </c>
      <c r="D64" s="59" t="s">
        <v>144</v>
      </c>
      <c r="E64" s="26"/>
      <c r="F64" s="42" t="s">
        <v>145</v>
      </c>
      <c r="G64" s="14"/>
    </row>
    <row r="65" spans="1:7" s="65" customFormat="1" ht="49.95" customHeight="1" x14ac:dyDescent="0.3">
      <c r="A65" s="66">
        <f t="shared" ref="A65:A94" si="2">SUM(A64,1)</f>
        <v>676</v>
      </c>
      <c r="B65" s="59">
        <v>2018</v>
      </c>
      <c r="C65" s="59" t="s">
        <v>146</v>
      </c>
      <c r="D65" s="59" t="s">
        <v>147</v>
      </c>
      <c r="E65" s="36" t="s">
        <v>148</v>
      </c>
      <c r="F65" s="63" t="s">
        <v>49</v>
      </c>
      <c r="G65" s="14"/>
    </row>
    <row r="66" spans="1:7" s="77" customFormat="1" ht="49.95" customHeight="1" x14ac:dyDescent="0.3">
      <c r="A66" s="66">
        <f t="shared" si="2"/>
        <v>677</v>
      </c>
      <c r="B66" s="59">
        <v>2015</v>
      </c>
      <c r="C66" s="59" t="s">
        <v>149</v>
      </c>
      <c r="D66" s="59" t="s">
        <v>150</v>
      </c>
      <c r="E66" s="26"/>
      <c r="F66" s="42" t="s">
        <v>145</v>
      </c>
      <c r="G66" s="14"/>
    </row>
    <row r="67" spans="1:7" s="65" customFormat="1" ht="49.95" customHeight="1" x14ac:dyDescent="0.3">
      <c r="A67" s="66">
        <f t="shared" si="2"/>
        <v>678</v>
      </c>
      <c r="B67" s="59">
        <v>2018</v>
      </c>
      <c r="C67" s="59" t="s">
        <v>151</v>
      </c>
      <c r="D67" s="59" t="s">
        <v>152</v>
      </c>
      <c r="E67" s="36" t="s">
        <v>153</v>
      </c>
      <c r="F67" s="63" t="s">
        <v>139</v>
      </c>
      <c r="G67" s="14"/>
    </row>
    <row r="68" spans="1:7" s="77" customFormat="1" ht="49.95" customHeight="1" x14ac:dyDescent="0.3">
      <c r="A68" s="66">
        <f t="shared" si="2"/>
        <v>679</v>
      </c>
      <c r="B68" s="59">
        <v>2006</v>
      </c>
      <c r="C68" s="59" t="s">
        <v>154</v>
      </c>
      <c r="D68" s="59" t="s">
        <v>155</v>
      </c>
      <c r="E68" s="26"/>
      <c r="F68" s="42" t="s">
        <v>67</v>
      </c>
      <c r="G68" s="14"/>
    </row>
    <row r="69" spans="1:7" s="65" customFormat="1" ht="49.95" customHeight="1" x14ac:dyDescent="0.3">
      <c r="A69" s="66">
        <f t="shared" si="2"/>
        <v>680</v>
      </c>
      <c r="B69" s="59">
        <v>2018</v>
      </c>
      <c r="C69" s="59" t="s">
        <v>156</v>
      </c>
      <c r="D69" s="59" t="s">
        <v>157</v>
      </c>
      <c r="E69" s="69"/>
      <c r="F69" s="63" t="s">
        <v>49</v>
      </c>
      <c r="G69" s="14"/>
    </row>
    <row r="70" spans="1:7" s="77" customFormat="1" ht="49.95" customHeight="1" x14ac:dyDescent="0.3">
      <c r="A70" s="66">
        <f t="shared" si="2"/>
        <v>681</v>
      </c>
      <c r="B70" s="59">
        <v>2011</v>
      </c>
      <c r="C70" s="59" t="s">
        <v>158</v>
      </c>
      <c r="D70" s="59" t="s">
        <v>159</v>
      </c>
      <c r="E70" s="26"/>
      <c r="F70" s="42" t="s">
        <v>67</v>
      </c>
      <c r="G70" s="14"/>
    </row>
    <row r="71" spans="1:7" s="75" customFormat="1" ht="49.95" customHeight="1" x14ac:dyDescent="0.3">
      <c r="A71" s="66">
        <f t="shared" si="2"/>
        <v>682</v>
      </c>
      <c r="B71" s="59">
        <v>2015</v>
      </c>
      <c r="C71" s="59" t="s">
        <v>160</v>
      </c>
      <c r="D71" s="59" t="s">
        <v>161</v>
      </c>
      <c r="E71" s="69"/>
      <c r="F71" s="63" t="s">
        <v>49</v>
      </c>
      <c r="G71" s="14"/>
    </row>
    <row r="72" spans="1:7" s="75" customFormat="1" ht="49.95" customHeight="1" x14ac:dyDescent="0.3">
      <c r="A72" s="66">
        <f t="shared" si="2"/>
        <v>683</v>
      </c>
      <c r="B72" s="59">
        <v>2005</v>
      </c>
      <c r="C72" s="59" t="s">
        <v>162</v>
      </c>
      <c r="D72" s="59" t="s">
        <v>163</v>
      </c>
      <c r="E72" s="26"/>
      <c r="F72" s="42" t="s">
        <v>67</v>
      </c>
      <c r="G72" s="14"/>
    </row>
    <row r="73" spans="1:7" s="75" customFormat="1" ht="49.95" customHeight="1" thickBot="1" x14ac:dyDescent="0.35">
      <c r="A73" s="66">
        <f t="shared" si="2"/>
        <v>684</v>
      </c>
      <c r="B73" s="59">
        <v>2019</v>
      </c>
      <c r="C73" s="59" t="s">
        <v>164</v>
      </c>
      <c r="D73" s="59" t="s">
        <v>165</v>
      </c>
      <c r="E73" s="60"/>
      <c r="F73" s="78" t="s">
        <v>49</v>
      </c>
      <c r="G73" s="14"/>
    </row>
    <row r="74" spans="1:7" s="75" customFormat="1" ht="49.95" customHeight="1" thickBot="1" x14ac:dyDescent="0.35">
      <c r="A74" s="66">
        <f t="shared" si="2"/>
        <v>685</v>
      </c>
      <c r="B74" s="59">
        <v>2014</v>
      </c>
      <c r="C74" s="59" t="s">
        <v>166</v>
      </c>
      <c r="D74" s="59" t="s">
        <v>167</v>
      </c>
      <c r="E74" s="79"/>
      <c r="F74" s="80" t="s">
        <v>67</v>
      </c>
      <c r="G74" s="14"/>
    </row>
    <row r="75" spans="1:7" s="75" customFormat="1" ht="49.95" customHeight="1" x14ac:dyDescent="0.3">
      <c r="A75" s="66">
        <f t="shared" si="2"/>
        <v>686</v>
      </c>
      <c r="B75" s="59">
        <v>2019</v>
      </c>
      <c r="C75" s="59" t="s">
        <v>79</v>
      </c>
      <c r="D75" s="59" t="s">
        <v>168</v>
      </c>
      <c r="E75" s="36" t="s">
        <v>169</v>
      </c>
      <c r="F75" s="63" t="s">
        <v>139</v>
      </c>
      <c r="G75" s="14"/>
    </row>
    <row r="76" spans="1:7" s="75" customFormat="1" ht="49.95" customHeight="1" x14ac:dyDescent="0.3">
      <c r="A76" s="66">
        <f t="shared" si="2"/>
        <v>687</v>
      </c>
      <c r="B76" s="59">
        <v>2018</v>
      </c>
      <c r="C76" s="59" t="s">
        <v>170</v>
      </c>
      <c r="D76" s="59" t="s">
        <v>171</v>
      </c>
      <c r="E76" s="26"/>
      <c r="F76" s="42" t="s">
        <v>145</v>
      </c>
      <c r="G76" s="14"/>
    </row>
    <row r="77" spans="1:7" s="75" customFormat="1" ht="49.95" customHeight="1" x14ac:dyDescent="0.3">
      <c r="A77" s="66">
        <f t="shared" si="2"/>
        <v>688</v>
      </c>
      <c r="B77" s="59">
        <v>2015</v>
      </c>
      <c r="C77" s="59" t="s">
        <v>172</v>
      </c>
      <c r="D77" s="59" t="s">
        <v>173</v>
      </c>
      <c r="E77" s="76" t="s">
        <v>174</v>
      </c>
      <c r="F77" s="63" t="s">
        <v>139</v>
      </c>
      <c r="G77" s="14"/>
    </row>
    <row r="78" spans="1:7" s="75" customFormat="1" ht="49.95" customHeight="1" x14ac:dyDescent="0.3">
      <c r="A78" s="66">
        <f t="shared" si="2"/>
        <v>689</v>
      </c>
      <c r="B78" s="59">
        <v>2018</v>
      </c>
      <c r="C78" s="59" t="s">
        <v>175</v>
      </c>
      <c r="D78" s="59" t="s">
        <v>176</v>
      </c>
      <c r="E78" s="26"/>
      <c r="F78" s="42" t="s">
        <v>145</v>
      </c>
      <c r="G78" s="14"/>
    </row>
    <row r="79" spans="1:7" s="75" customFormat="1" ht="49.95" customHeight="1" x14ac:dyDescent="0.3">
      <c r="A79" s="66">
        <f t="shared" si="2"/>
        <v>690</v>
      </c>
      <c r="B79" s="59">
        <v>2021</v>
      </c>
      <c r="C79" s="59" t="s">
        <v>177</v>
      </c>
      <c r="D79" s="59" t="s">
        <v>178</v>
      </c>
      <c r="E79" s="81" t="s">
        <v>179</v>
      </c>
      <c r="F79" s="63" t="s">
        <v>139</v>
      </c>
      <c r="G79" s="14"/>
    </row>
    <row r="80" spans="1:7" s="75" customFormat="1" ht="49.95" customHeight="1" x14ac:dyDescent="0.3">
      <c r="A80" s="66">
        <f t="shared" si="2"/>
        <v>691</v>
      </c>
      <c r="B80" s="59">
        <v>2019</v>
      </c>
      <c r="C80" s="59" t="s">
        <v>180</v>
      </c>
      <c r="D80" s="59" t="s">
        <v>181</v>
      </c>
      <c r="E80" s="26"/>
      <c r="F80" s="42" t="s">
        <v>145</v>
      </c>
      <c r="G80" s="14"/>
    </row>
    <row r="81" spans="1:86" s="75" customFormat="1" ht="49.95" customHeight="1" x14ac:dyDescent="0.3">
      <c r="A81" s="66">
        <f t="shared" si="2"/>
        <v>692</v>
      </c>
      <c r="B81" s="59">
        <v>2016</v>
      </c>
      <c r="C81" s="59" t="s">
        <v>182</v>
      </c>
      <c r="D81" s="59" t="s">
        <v>183</v>
      </c>
      <c r="E81" s="26"/>
      <c r="F81" s="42" t="s">
        <v>145</v>
      </c>
      <c r="G81" s="14"/>
    </row>
    <row r="82" spans="1:86" s="75" customFormat="1" ht="49.95" customHeight="1" x14ac:dyDescent="0.3">
      <c r="A82" s="66">
        <f t="shared" si="2"/>
        <v>693</v>
      </c>
      <c r="B82" s="59">
        <v>2019</v>
      </c>
      <c r="C82" s="59" t="s">
        <v>60</v>
      </c>
      <c r="D82" s="59" t="s">
        <v>61</v>
      </c>
      <c r="E82" s="26"/>
      <c r="F82" s="42" t="s">
        <v>184</v>
      </c>
      <c r="G82" s="14"/>
    </row>
    <row r="83" spans="1:86" s="75" customFormat="1" ht="49.95" customHeight="1" x14ac:dyDescent="0.3">
      <c r="A83" s="66">
        <f t="shared" si="2"/>
        <v>694</v>
      </c>
      <c r="B83" s="59">
        <v>2019</v>
      </c>
      <c r="C83" s="59" t="s">
        <v>185</v>
      </c>
      <c r="D83" s="59" t="s">
        <v>186</v>
      </c>
      <c r="E83" s="26"/>
      <c r="F83" s="42" t="s">
        <v>184</v>
      </c>
      <c r="G83" s="14"/>
    </row>
    <row r="84" spans="1:86" s="75" customFormat="1" ht="49.95" customHeight="1" x14ac:dyDescent="0.3">
      <c r="A84" s="66">
        <f t="shared" si="2"/>
        <v>695</v>
      </c>
      <c r="B84" s="59">
        <v>2014</v>
      </c>
      <c r="C84" s="59" t="s">
        <v>187</v>
      </c>
      <c r="D84" s="59" t="s">
        <v>188</v>
      </c>
      <c r="E84" s="26"/>
      <c r="F84" s="42" t="s">
        <v>67</v>
      </c>
      <c r="G84" s="14"/>
    </row>
    <row r="85" spans="1:86" s="75" customFormat="1" ht="49.95" customHeight="1" x14ac:dyDescent="0.3">
      <c r="A85" s="66">
        <f t="shared" si="2"/>
        <v>696</v>
      </c>
      <c r="B85" s="59">
        <v>2007</v>
      </c>
      <c r="C85" s="59" t="s">
        <v>189</v>
      </c>
      <c r="D85" s="59" t="s">
        <v>190</v>
      </c>
      <c r="E85" s="26"/>
      <c r="F85" s="42" t="s">
        <v>67</v>
      </c>
      <c r="G85" s="14"/>
    </row>
    <row r="86" spans="1:86" s="75" customFormat="1" ht="49.95" customHeight="1" x14ac:dyDescent="0.3">
      <c r="A86" s="66">
        <f t="shared" si="2"/>
        <v>697</v>
      </c>
      <c r="B86" s="59">
        <v>2013</v>
      </c>
      <c r="C86" s="59" t="s">
        <v>191</v>
      </c>
      <c r="D86" s="59" t="s">
        <v>192</v>
      </c>
      <c r="E86" s="26"/>
      <c r="F86" s="42" t="s">
        <v>67</v>
      </c>
      <c r="G86" s="14"/>
    </row>
    <row r="87" spans="1:86" s="75" customFormat="1" ht="49.95" customHeight="1" x14ac:dyDescent="0.3">
      <c r="A87" s="66">
        <f t="shared" si="2"/>
        <v>698</v>
      </c>
      <c r="B87" s="59">
        <v>2022</v>
      </c>
      <c r="C87" s="59" t="s">
        <v>193</v>
      </c>
      <c r="D87" s="59" t="s">
        <v>194</v>
      </c>
      <c r="E87" s="26"/>
      <c r="F87" s="42" t="s">
        <v>145</v>
      </c>
      <c r="G87" s="14"/>
    </row>
    <row r="88" spans="1:86" s="75" customFormat="1" ht="49.95" customHeight="1" x14ac:dyDescent="0.3">
      <c r="A88" s="66">
        <f t="shared" si="2"/>
        <v>699</v>
      </c>
      <c r="B88" s="59">
        <v>2024</v>
      </c>
      <c r="C88" s="59" t="s">
        <v>195</v>
      </c>
      <c r="D88" s="59" t="s">
        <v>196</v>
      </c>
      <c r="E88" s="26"/>
      <c r="F88" s="42" t="s">
        <v>145</v>
      </c>
      <c r="G88" s="14"/>
    </row>
    <row r="89" spans="1:86" s="75" customFormat="1" ht="49.95" customHeight="1" x14ac:dyDescent="0.2">
      <c r="A89" s="66">
        <f t="shared" si="2"/>
        <v>700</v>
      </c>
      <c r="B89" s="59">
        <v>2025</v>
      </c>
      <c r="C89" s="59" t="s">
        <v>197</v>
      </c>
      <c r="D89" s="59" t="s">
        <v>198</v>
      </c>
      <c r="E89" s="82" t="s">
        <v>199</v>
      </c>
      <c r="F89" s="63" t="s">
        <v>49</v>
      </c>
      <c r="G89" s="14"/>
    </row>
    <row r="90" spans="1:86" s="75" customFormat="1" ht="49.95" customHeight="1" x14ac:dyDescent="0.3">
      <c r="A90" s="66">
        <f t="shared" si="2"/>
        <v>701</v>
      </c>
      <c r="B90" s="59">
        <v>2023</v>
      </c>
      <c r="C90" s="59" t="s">
        <v>200</v>
      </c>
      <c r="D90" s="59" t="s">
        <v>201</v>
      </c>
      <c r="E90" s="26"/>
      <c r="F90" s="42" t="s">
        <v>145</v>
      </c>
      <c r="G90" s="14"/>
    </row>
    <row r="91" spans="1:86" s="75" customFormat="1" ht="49.95" customHeight="1" x14ac:dyDescent="0.3">
      <c r="A91" s="66">
        <f t="shared" si="2"/>
        <v>702</v>
      </c>
      <c r="B91" s="59">
        <v>2023</v>
      </c>
      <c r="C91" s="59" t="s">
        <v>202</v>
      </c>
      <c r="D91" s="59" t="s">
        <v>203</v>
      </c>
      <c r="E91" s="69"/>
      <c r="F91" s="83"/>
      <c r="G91" s="68" t="s">
        <v>127</v>
      </c>
    </row>
    <row r="92" spans="1:86" s="75" customFormat="1" ht="49.95" customHeight="1" x14ac:dyDescent="0.3">
      <c r="A92" s="66">
        <f t="shared" si="2"/>
        <v>703</v>
      </c>
      <c r="B92" s="59">
        <v>2024</v>
      </c>
      <c r="C92" s="59" t="s">
        <v>204</v>
      </c>
      <c r="D92" s="59" t="s">
        <v>205</v>
      </c>
      <c r="E92" s="69"/>
      <c r="F92" s="83"/>
      <c r="G92" s="68" t="s">
        <v>206</v>
      </c>
    </row>
    <row r="93" spans="1:86" s="75" customFormat="1" ht="49.95" customHeight="1" x14ac:dyDescent="0.3">
      <c r="A93" s="66">
        <f t="shared" si="2"/>
        <v>704</v>
      </c>
      <c r="B93" s="59">
        <v>2020</v>
      </c>
      <c r="C93" s="59" t="s">
        <v>207</v>
      </c>
      <c r="D93" s="59" t="s">
        <v>208</v>
      </c>
      <c r="E93" s="69"/>
      <c r="F93" s="63" t="s">
        <v>184</v>
      </c>
      <c r="G93" s="84"/>
    </row>
    <row r="94" spans="1:86" s="75" customFormat="1" ht="49.95" customHeight="1" x14ac:dyDescent="0.3">
      <c r="A94" s="66">
        <f t="shared" si="2"/>
        <v>705</v>
      </c>
      <c r="B94" s="59">
        <v>2019</v>
      </c>
      <c r="C94" s="59" t="s">
        <v>209</v>
      </c>
      <c r="D94" s="59" t="s">
        <v>210</v>
      </c>
      <c r="E94" s="69"/>
      <c r="F94" s="63" t="s">
        <v>211</v>
      </c>
      <c r="G94" s="14"/>
    </row>
    <row r="95" spans="1:86" ht="23.4" x14ac:dyDescent="0.45">
      <c r="A95" s="44" t="s">
        <v>0</v>
      </c>
      <c r="B95" s="44" t="s">
        <v>1</v>
      </c>
      <c r="C95" s="44" t="s">
        <v>2</v>
      </c>
      <c r="D95" s="45" t="s">
        <v>3</v>
      </c>
      <c r="E95" s="45" t="s">
        <v>4</v>
      </c>
      <c r="F95" s="46" t="s">
        <v>5</v>
      </c>
      <c r="G95" s="47"/>
      <c r="H95" s="185"/>
      <c r="I95" s="185"/>
      <c r="J95" s="185"/>
      <c r="K95" s="187"/>
      <c r="L95" s="188"/>
      <c r="M95" s="189"/>
      <c r="N95" s="188"/>
      <c r="O95" s="185"/>
      <c r="P95" s="189"/>
      <c r="Q95" s="186"/>
      <c r="R95" s="186"/>
      <c r="S95" s="186"/>
      <c r="T95" s="186"/>
      <c r="U95" s="186"/>
      <c r="V95" s="186"/>
      <c r="W95" s="186"/>
      <c r="X95" s="186"/>
      <c r="Y95" s="186"/>
      <c r="Z95" s="186"/>
      <c r="AA95" s="186"/>
      <c r="AB95" s="186"/>
      <c r="AC95" s="186"/>
      <c r="AD95" s="186"/>
      <c r="AE95" s="186"/>
      <c r="AF95" s="186"/>
      <c r="AG95" s="186"/>
      <c r="AH95" s="186"/>
      <c r="AI95" s="186"/>
      <c r="AJ95" s="186"/>
      <c r="AK95" s="186"/>
      <c r="AL95" s="186"/>
      <c r="AM95" s="186"/>
      <c r="AN95" s="186"/>
      <c r="AO95" s="186"/>
      <c r="AP95" s="186"/>
      <c r="AQ95" s="186"/>
      <c r="AR95" s="186"/>
      <c r="AS95" s="186"/>
      <c r="AT95" s="186"/>
      <c r="AU95" s="186"/>
      <c r="AV95" s="186"/>
      <c r="AW95" s="186"/>
      <c r="AX95" s="186"/>
      <c r="AY95" s="186"/>
      <c r="AZ95" s="186"/>
      <c r="BA95" s="186"/>
      <c r="BB95" s="186"/>
      <c r="BC95" s="186"/>
      <c r="BD95" s="186"/>
      <c r="BE95" s="186"/>
      <c r="BF95" s="186"/>
      <c r="BG95" s="186"/>
      <c r="BH95" s="186"/>
      <c r="BI95" s="186"/>
      <c r="BJ95" s="186"/>
      <c r="BK95" s="186"/>
      <c r="BL95" s="186"/>
      <c r="BM95" s="186"/>
      <c r="BN95" s="186"/>
      <c r="BO95" s="186"/>
      <c r="BP95" s="186"/>
      <c r="BQ95" s="186"/>
      <c r="BR95" s="186"/>
      <c r="BS95" s="186"/>
      <c r="BT95" s="186"/>
      <c r="BU95" s="186"/>
      <c r="BV95" s="186"/>
      <c r="BW95" s="186"/>
      <c r="BX95" s="186"/>
      <c r="BY95" s="186"/>
      <c r="BZ95" s="186"/>
      <c r="CA95" s="186"/>
      <c r="CB95" s="186"/>
      <c r="CC95" s="186"/>
      <c r="CD95" s="186"/>
      <c r="CE95" s="186"/>
      <c r="CF95" s="186"/>
      <c r="CG95" s="186"/>
      <c r="CH95" s="186"/>
    </row>
    <row r="96" spans="1:86" ht="46.8" x14ac:dyDescent="0.45">
      <c r="A96" s="49">
        <v>167</v>
      </c>
      <c r="B96" s="50">
        <v>2022</v>
      </c>
      <c r="C96" s="50" t="s">
        <v>212</v>
      </c>
      <c r="D96" s="51" t="s">
        <v>213</v>
      </c>
      <c r="E96" s="52" t="s">
        <v>214</v>
      </c>
      <c r="F96" s="53" t="s">
        <v>215</v>
      </c>
      <c r="G96" s="54"/>
      <c r="H96" s="185"/>
      <c r="I96" s="185"/>
      <c r="J96" s="185"/>
      <c r="K96" s="187"/>
      <c r="L96" s="188"/>
      <c r="M96" s="189"/>
      <c r="N96" s="188"/>
      <c r="O96" s="185"/>
      <c r="P96" s="189"/>
      <c r="Q96" s="186"/>
      <c r="R96" s="186"/>
      <c r="S96" s="186"/>
      <c r="T96" s="186"/>
      <c r="U96" s="186"/>
      <c r="V96" s="186"/>
      <c r="W96" s="186"/>
      <c r="X96" s="186"/>
      <c r="Y96" s="186"/>
      <c r="Z96" s="186"/>
      <c r="AA96" s="186"/>
      <c r="AB96" s="186"/>
      <c r="AC96" s="186"/>
      <c r="AD96" s="186"/>
      <c r="AE96" s="186"/>
      <c r="AF96" s="186"/>
      <c r="AG96" s="186"/>
      <c r="AH96" s="186"/>
      <c r="AI96" s="186"/>
      <c r="AJ96" s="186"/>
      <c r="AK96" s="186"/>
      <c r="AL96" s="186"/>
      <c r="AM96" s="186"/>
      <c r="AN96" s="186"/>
      <c r="AO96" s="186"/>
      <c r="AP96" s="186"/>
      <c r="AQ96" s="186"/>
      <c r="AR96" s="186"/>
      <c r="AS96" s="186"/>
      <c r="AT96" s="186"/>
      <c r="AU96" s="186"/>
      <c r="AV96" s="186"/>
      <c r="AW96" s="186"/>
      <c r="AX96" s="186"/>
      <c r="AY96" s="186"/>
      <c r="AZ96" s="186"/>
      <c r="BA96" s="186"/>
      <c r="BB96" s="186"/>
      <c r="BC96" s="186"/>
      <c r="BD96" s="186"/>
      <c r="BE96" s="186"/>
      <c r="BF96" s="186"/>
      <c r="BG96" s="186"/>
      <c r="BH96" s="186"/>
      <c r="BI96" s="186"/>
      <c r="BJ96" s="186"/>
      <c r="BK96" s="186"/>
      <c r="BL96" s="186"/>
      <c r="BM96" s="186"/>
      <c r="BN96" s="186"/>
      <c r="BO96" s="186"/>
      <c r="BP96" s="186"/>
      <c r="BQ96" s="186"/>
      <c r="BR96" s="186"/>
      <c r="BS96" s="186"/>
      <c r="BT96" s="186"/>
      <c r="BU96" s="186"/>
      <c r="BV96" s="186"/>
      <c r="BW96" s="186"/>
      <c r="BX96" s="186"/>
      <c r="BY96" s="186"/>
      <c r="BZ96" s="186"/>
      <c r="CA96" s="186"/>
      <c r="CB96" s="186"/>
      <c r="CC96" s="186"/>
      <c r="CD96" s="186"/>
      <c r="CE96" s="186"/>
      <c r="CF96" s="186"/>
      <c r="CG96" s="186"/>
      <c r="CH96" s="186"/>
    </row>
    <row r="97" spans="1:86" s="4" customFormat="1" ht="100.2" customHeight="1" x14ac:dyDescent="0.45">
      <c r="A97" s="208" t="s">
        <v>10</v>
      </c>
      <c r="B97" s="209"/>
      <c r="C97" s="209"/>
      <c r="D97" s="209"/>
      <c r="E97" s="210"/>
      <c r="F97" s="205" t="s">
        <v>1733</v>
      </c>
      <c r="G97" s="200"/>
      <c r="H97" s="183"/>
      <c r="I97" s="184"/>
      <c r="J97" s="184"/>
      <c r="K97" s="184"/>
      <c r="L97" s="184"/>
      <c r="M97" s="184"/>
      <c r="N97" s="184"/>
      <c r="O97" s="184"/>
      <c r="P97" s="184"/>
      <c r="Q97" s="184"/>
      <c r="R97" s="184"/>
      <c r="S97" s="184"/>
      <c r="T97" s="184"/>
      <c r="U97" s="184"/>
      <c r="V97" s="184"/>
      <c r="W97" s="184"/>
      <c r="X97" s="184"/>
      <c r="Y97" s="184"/>
      <c r="Z97" s="184"/>
      <c r="AA97" s="184"/>
      <c r="AB97" s="184"/>
      <c r="AC97" s="184"/>
      <c r="AD97" s="184"/>
      <c r="AE97" s="184"/>
      <c r="AF97" s="184"/>
      <c r="AG97" s="184"/>
      <c r="AH97" s="184"/>
      <c r="AI97" s="184"/>
      <c r="AJ97" s="184"/>
      <c r="AK97" s="184"/>
      <c r="AL97" s="184"/>
      <c r="AM97" s="184"/>
      <c r="AN97" s="184"/>
      <c r="AO97" s="184"/>
      <c r="AP97" s="184"/>
      <c r="AQ97" s="184"/>
      <c r="AR97" s="184"/>
      <c r="AS97" s="184"/>
      <c r="AT97" s="184"/>
      <c r="AU97" s="184"/>
      <c r="AV97" s="184"/>
      <c r="AW97" s="184"/>
      <c r="AX97" s="184"/>
      <c r="AY97" s="184"/>
      <c r="AZ97" s="184"/>
      <c r="BA97" s="184"/>
      <c r="BB97" s="184"/>
      <c r="BC97" s="184"/>
      <c r="BD97" s="184"/>
      <c r="BE97" s="184"/>
      <c r="BF97" s="184"/>
      <c r="BG97" s="184"/>
      <c r="BH97" s="184"/>
      <c r="BI97" s="184"/>
      <c r="BJ97" s="184"/>
      <c r="BK97" s="184"/>
      <c r="BL97" s="184"/>
      <c r="BM97" s="184"/>
      <c r="BN97" s="184"/>
      <c r="BO97" s="184"/>
      <c r="BP97" s="184"/>
      <c r="BQ97" s="184"/>
      <c r="BR97" s="184"/>
      <c r="BS97" s="184"/>
      <c r="BT97" s="184"/>
      <c r="BU97" s="184"/>
      <c r="BV97" s="184"/>
      <c r="BW97" s="184"/>
      <c r="BX97" s="184"/>
      <c r="BY97" s="184"/>
      <c r="BZ97" s="184"/>
      <c r="CA97" s="184"/>
      <c r="CB97" s="184"/>
      <c r="CC97" s="184"/>
      <c r="CD97" s="184"/>
      <c r="CE97" s="184"/>
      <c r="CF97" s="184"/>
      <c r="CG97" s="184"/>
      <c r="CH97" s="184"/>
    </row>
    <row r="98" spans="1:86" s="9" customFormat="1" ht="100.2" customHeight="1" x14ac:dyDescent="0.45">
      <c r="A98" s="208"/>
      <c r="B98" s="209"/>
      <c r="C98" s="209"/>
      <c r="D98" s="209"/>
      <c r="E98" s="210"/>
      <c r="F98" s="206"/>
      <c r="G98" s="202"/>
      <c r="H98" s="183"/>
      <c r="I98" s="184"/>
      <c r="J98" s="184"/>
      <c r="K98" s="184"/>
      <c r="L98" s="184"/>
      <c r="M98" s="184"/>
      <c r="N98" s="184"/>
      <c r="O98" s="184"/>
      <c r="P98" s="184"/>
      <c r="Q98" s="184"/>
      <c r="R98" s="184"/>
      <c r="S98" s="184"/>
      <c r="T98" s="184"/>
      <c r="U98" s="184"/>
      <c r="V98" s="184"/>
      <c r="W98" s="184"/>
      <c r="X98" s="184"/>
      <c r="Y98" s="184"/>
      <c r="Z98" s="184"/>
      <c r="AA98" s="184"/>
      <c r="AB98" s="184"/>
      <c r="AC98" s="184"/>
      <c r="AD98" s="184"/>
      <c r="AE98" s="184"/>
      <c r="AF98" s="184"/>
      <c r="AG98" s="184"/>
      <c r="AH98" s="184"/>
      <c r="AI98" s="184"/>
      <c r="AJ98" s="184"/>
      <c r="AK98" s="184"/>
      <c r="AL98" s="184"/>
      <c r="AM98" s="184"/>
      <c r="AN98" s="184"/>
      <c r="AO98" s="184"/>
      <c r="AP98" s="184"/>
      <c r="AQ98" s="184"/>
      <c r="AR98" s="184"/>
      <c r="AS98" s="184"/>
      <c r="AT98" s="184"/>
      <c r="AU98" s="184"/>
      <c r="AV98" s="184"/>
      <c r="AW98" s="184"/>
      <c r="AX98" s="184"/>
      <c r="AY98" s="184"/>
      <c r="AZ98" s="184"/>
      <c r="BA98" s="184"/>
      <c r="BB98" s="184"/>
      <c r="BC98" s="184"/>
      <c r="BD98" s="184"/>
      <c r="BE98" s="184"/>
      <c r="BF98" s="184"/>
      <c r="BG98" s="184"/>
      <c r="BH98" s="184"/>
      <c r="BI98" s="184"/>
      <c r="BJ98" s="184"/>
      <c r="BK98" s="184"/>
      <c r="BL98" s="184"/>
      <c r="BM98" s="184"/>
      <c r="BN98" s="184"/>
      <c r="BO98" s="184"/>
      <c r="BP98" s="184"/>
      <c r="BQ98" s="184"/>
      <c r="BR98" s="184"/>
      <c r="BS98" s="184"/>
      <c r="BT98" s="184"/>
      <c r="BU98" s="184"/>
      <c r="BV98" s="184"/>
      <c r="BW98" s="184"/>
      <c r="BX98" s="184"/>
      <c r="BY98" s="184"/>
      <c r="BZ98" s="184"/>
      <c r="CA98" s="184"/>
      <c r="CB98" s="184"/>
      <c r="CC98" s="184"/>
      <c r="CD98" s="184"/>
      <c r="CE98" s="184"/>
      <c r="CF98" s="184"/>
      <c r="CG98" s="184"/>
      <c r="CH98" s="184"/>
    </row>
    <row r="99" spans="1:86" s="4" customFormat="1" ht="30" customHeight="1" x14ac:dyDescent="0.45">
      <c r="A99" s="208"/>
      <c r="B99" s="209"/>
      <c r="C99" s="209"/>
      <c r="D99" s="209"/>
      <c r="E99" s="210"/>
      <c r="F99" s="207"/>
      <c r="G99" s="204"/>
      <c r="H99" s="183"/>
      <c r="I99" s="184"/>
      <c r="J99" s="184"/>
      <c r="K99" s="184"/>
      <c r="L99" s="184"/>
      <c r="M99" s="184"/>
      <c r="N99" s="184"/>
      <c r="O99" s="184"/>
      <c r="P99" s="184"/>
      <c r="Q99" s="184"/>
      <c r="R99" s="184"/>
      <c r="S99" s="184"/>
      <c r="T99" s="184"/>
      <c r="U99" s="184"/>
      <c r="V99" s="184"/>
      <c r="W99" s="184"/>
      <c r="X99" s="184"/>
      <c r="Y99" s="184"/>
      <c r="Z99" s="184"/>
      <c r="AA99" s="184"/>
      <c r="AB99" s="184"/>
      <c r="AC99" s="184"/>
      <c r="AD99" s="184"/>
      <c r="AE99" s="184"/>
      <c r="AF99" s="184"/>
      <c r="AG99" s="184"/>
      <c r="AH99" s="184"/>
      <c r="AI99" s="184"/>
      <c r="AJ99" s="184"/>
      <c r="AK99" s="184"/>
      <c r="AL99" s="184"/>
      <c r="AM99" s="184"/>
      <c r="AN99" s="184"/>
      <c r="AO99" s="184"/>
      <c r="AP99" s="184"/>
      <c r="AQ99" s="184"/>
      <c r="AR99" s="184"/>
      <c r="AS99" s="184"/>
      <c r="AT99" s="184"/>
      <c r="AU99" s="184"/>
      <c r="AV99" s="184"/>
      <c r="AW99" s="184"/>
      <c r="AX99" s="184"/>
      <c r="AY99" s="184"/>
      <c r="AZ99" s="184"/>
      <c r="BA99" s="184"/>
      <c r="BB99" s="184"/>
      <c r="BC99" s="184"/>
      <c r="BD99" s="184"/>
      <c r="BE99" s="184"/>
      <c r="BF99" s="184"/>
      <c r="BG99" s="184"/>
      <c r="BH99" s="184"/>
      <c r="BI99" s="184"/>
      <c r="BJ99" s="184"/>
      <c r="BK99" s="184"/>
      <c r="BL99" s="184"/>
      <c r="BM99" s="184"/>
      <c r="BN99" s="184"/>
      <c r="BO99" s="184"/>
      <c r="BP99" s="184"/>
      <c r="BQ99" s="184"/>
      <c r="BR99" s="184"/>
      <c r="BS99" s="184"/>
      <c r="BT99" s="184"/>
      <c r="BU99" s="184"/>
      <c r="BV99" s="184"/>
      <c r="BW99" s="184"/>
      <c r="BX99" s="184"/>
      <c r="BY99" s="184"/>
      <c r="BZ99" s="184"/>
      <c r="CA99" s="184"/>
      <c r="CB99" s="184"/>
      <c r="CC99" s="184"/>
      <c r="CD99" s="184"/>
      <c r="CE99" s="184"/>
      <c r="CF99" s="184"/>
      <c r="CG99" s="184"/>
      <c r="CH99" s="184"/>
    </row>
    <row r="100" spans="1:86" s="9" customFormat="1" ht="100.2" customHeight="1" x14ac:dyDescent="0.45">
      <c r="A100" s="56" t="s">
        <v>12</v>
      </c>
      <c r="B100" s="55" t="s">
        <v>13</v>
      </c>
      <c r="C100" s="55" t="s">
        <v>14</v>
      </c>
      <c r="D100" s="55" t="s">
        <v>15</v>
      </c>
      <c r="E100" s="57" t="s">
        <v>16</v>
      </c>
      <c r="F100" s="56" t="s">
        <v>1735</v>
      </c>
      <c r="G100" s="55" t="s">
        <v>1737</v>
      </c>
      <c r="H100" s="184"/>
      <c r="I100" s="184"/>
      <c r="J100" s="184"/>
      <c r="K100" s="184"/>
      <c r="L100" s="184"/>
      <c r="M100" s="184"/>
      <c r="N100" s="184"/>
      <c r="O100" s="184"/>
      <c r="P100" s="184"/>
      <c r="Q100" s="184"/>
      <c r="R100" s="184"/>
      <c r="S100" s="184"/>
      <c r="T100" s="184"/>
      <c r="U100" s="184"/>
      <c r="V100" s="184"/>
      <c r="W100" s="184"/>
      <c r="X100" s="184"/>
      <c r="Y100" s="184"/>
      <c r="Z100" s="184"/>
      <c r="AA100" s="184"/>
      <c r="AB100" s="184"/>
      <c r="AC100" s="184"/>
      <c r="AD100" s="184"/>
      <c r="AE100" s="184"/>
      <c r="AF100" s="184"/>
      <c r="AG100" s="184"/>
      <c r="AH100" s="184"/>
      <c r="AI100" s="184"/>
      <c r="AJ100" s="184"/>
      <c r="AK100" s="184"/>
      <c r="AL100" s="184"/>
      <c r="AM100" s="184"/>
      <c r="AN100" s="184"/>
      <c r="AO100" s="184"/>
      <c r="AP100" s="184"/>
      <c r="AQ100" s="184"/>
      <c r="AR100" s="184"/>
      <c r="AS100" s="184"/>
      <c r="AT100" s="184"/>
      <c r="AU100" s="184"/>
      <c r="AV100" s="184"/>
      <c r="AW100" s="184"/>
      <c r="AX100" s="184"/>
      <c r="AY100" s="184"/>
      <c r="AZ100" s="184"/>
      <c r="BA100" s="184"/>
      <c r="BB100" s="184"/>
      <c r="BC100" s="184"/>
      <c r="BD100" s="184"/>
      <c r="BE100" s="184"/>
      <c r="BF100" s="184"/>
      <c r="BG100" s="184"/>
      <c r="BH100" s="184"/>
      <c r="BI100" s="184"/>
      <c r="BJ100" s="184"/>
      <c r="BK100" s="184"/>
      <c r="BL100" s="184"/>
      <c r="BM100" s="184"/>
      <c r="BN100" s="184"/>
      <c r="BO100" s="184"/>
      <c r="BP100" s="184"/>
      <c r="BQ100" s="184"/>
      <c r="BR100" s="184"/>
      <c r="BS100" s="184"/>
      <c r="BT100" s="184"/>
      <c r="BU100" s="184"/>
      <c r="BV100" s="184"/>
      <c r="BW100" s="184"/>
      <c r="BX100" s="184"/>
      <c r="BY100" s="184"/>
      <c r="BZ100" s="184"/>
      <c r="CA100" s="184"/>
      <c r="CB100" s="184"/>
      <c r="CC100" s="184"/>
      <c r="CD100" s="184"/>
      <c r="CE100" s="184"/>
      <c r="CF100" s="184"/>
      <c r="CG100" s="184"/>
      <c r="CH100" s="184"/>
    </row>
    <row r="101" spans="1:86" s="65" customFormat="1" ht="49.95" customHeight="1" x14ac:dyDescent="0.3">
      <c r="A101" s="66">
        <f>SUM(A94,1)</f>
        <v>706</v>
      </c>
      <c r="B101" s="59">
        <v>2020</v>
      </c>
      <c r="C101" s="59" t="s">
        <v>216</v>
      </c>
      <c r="D101" s="59" t="s">
        <v>217</v>
      </c>
      <c r="E101" s="26"/>
      <c r="F101" s="85" t="s">
        <v>145</v>
      </c>
      <c r="G101" s="14"/>
    </row>
    <row r="102" spans="1:86" s="65" customFormat="1" ht="49.95" customHeight="1" x14ac:dyDescent="0.3">
      <c r="A102" s="66">
        <f>SUM(A101,1)</f>
        <v>707</v>
      </c>
      <c r="B102" s="59">
        <v>2002</v>
      </c>
      <c r="C102" s="59" t="s">
        <v>218</v>
      </c>
      <c r="D102" s="59" t="s">
        <v>219</v>
      </c>
      <c r="E102" s="26"/>
      <c r="F102" s="85" t="s">
        <v>145</v>
      </c>
      <c r="G102" s="14"/>
    </row>
    <row r="103" spans="1:86" s="65" customFormat="1" ht="49.95" customHeight="1" x14ac:dyDescent="0.3">
      <c r="A103" s="66">
        <f>SUM(A102,1)</f>
        <v>708</v>
      </c>
      <c r="B103" s="59">
        <v>2017</v>
      </c>
      <c r="C103" s="59" t="s">
        <v>220</v>
      </c>
      <c r="D103" s="59" t="s">
        <v>221</v>
      </c>
      <c r="E103" s="86" t="s">
        <v>222</v>
      </c>
      <c r="F103" s="85" t="s">
        <v>49</v>
      </c>
      <c r="G103" s="14"/>
    </row>
    <row r="104" spans="1:86" s="65" customFormat="1" ht="49.95" customHeight="1" x14ac:dyDescent="0.3">
      <c r="A104" s="66">
        <f t="shared" ref="A104:A160" si="3">SUM(A103,1)</f>
        <v>709</v>
      </c>
      <c r="B104" s="59">
        <v>2010</v>
      </c>
      <c r="C104" s="59" t="s">
        <v>223</v>
      </c>
      <c r="D104" s="59" t="s">
        <v>224</v>
      </c>
      <c r="E104" s="26"/>
      <c r="F104" s="85" t="s">
        <v>145</v>
      </c>
      <c r="G104" s="14"/>
    </row>
    <row r="105" spans="1:86" s="65" customFormat="1" ht="49.95" customHeight="1" x14ac:dyDescent="0.3">
      <c r="A105" s="66">
        <f t="shared" si="3"/>
        <v>710</v>
      </c>
      <c r="B105" s="59">
        <v>2020</v>
      </c>
      <c r="C105" s="59" t="s">
        <v>225</v>
      </c>
      <c r="D105" s="87" t="s">
        <v>226</v>
      </c>
      <c r="E105" s="86" t="s">
        <v>227</v>
      </c>
      <c r="F105" s="85" t="s">
        <v>49</v>
      </c>
      <c r="G105" s="14"/>
    </row>
    <row r="106" spans="1:86" s="65" customFormat="1" ht="49.95" customHeight="1" x14ac:dyDescent="0.3">
      <c r="A106" s="66">
        <f t="shared" si="3"/>
        <v>711</v>
      </c>
      <c r="B106" s="59">
        <v>2016</v>
      </c>
      <c r="C106" s="88" t="s">
        <v>27</v>
      </c>
      <c r="D106" s="89" t="s">
        <v>228</v>
      </c>
      <c r="E106" s="79"/>
      <c r="F106" s="85" t="s">
        <v>184</v>
      </c>
      <c r="G106" s="14"/>
    </row>
    <row r="107" spans="1:86" s="65" customFormat="1" ht="49.95" customHeight="1" x14ac:dyDescent="0.3">
      <c r="A107" s="66">
        <f t="shared" si="3"/>
        <v>712</v>
      </c>
      <c r="B107" s="59">
        <v>2020</v>
      </c>
      <c r="C107" s="59" t="s">
        <v>229</v>
      </c>
      <c r="D107" s="90" t="s">
        <v>96</v>
      </c>
      <c r="E107" s="26"/>
      <c r="F107" s="85" t="s">
        <v>184</v>
      </c>
      <c r="G107" s="14"/>
    </row>
    <row r="108" spans="1:86" s="65" customFormat="1" ht="49.95" customHeight="1" x14ac:dyDescent="0.3">
      <c r="A108" s="66">
        <f t="shared" si="3"/>
        <v>713</v>
      </c>
      <c r="B108" s="59">
        <v>2014</v>
      </c>
      <c r="C108" s="59" t="s">
        <v>65</v>
      </c>
      <c r="D108" s="59" t="s">
        <v>230</v>
      </c>
      <c r="E108" s="26"/>
      <c r="F108" s="85" t="s">
        <v>67</v>
      </c>
      <c r="G108" s="14"/>
    </row>
    <row r="109" spans="1:86" s="75" customFormat="1" ht="49.95" customHeight="1" x14ac:dyDescent="0.3">
      <c r="A109" s="66">
        <f t="shared" si="3"/>
        <v>714</v>
      </c>
      <c r="B109" s="59">
        <v>2020</v>
      </c>
      <c r="C109" s="59" t="s">
        <v>231</v>
      </c>
      <c r="D109" s="59" t="s">
        <v>232</v>
      </c>
      <c r="E109" s="26"/>
      <c r="F109" s="85" t="s">
        <v>184</v>
      </c>
      <c r="G109" s="14"/>
    </row>
    <row r="110" spans="1:86" s="65" customFormat="1" ht="49.95" customHeight="1" x14ac:dyDescent="0.3">
      <c r="A110" s="66">
        <f t="shared" si="3"/>
        <v>715</v>
      </c>
      <c r="B110" s="59">
        <v>2006</v>
      </c>
      <c r="C110" s="59" t="s">
        <v>233</v>
      </c>
      <c r="D110" s="59" t="s">
        <v>234</v>
      </c>
      <c r="E110" s="26"/>
      <c r="F110" s="85" t="s">
        <v>67</v>
      </c>
      <c r="G110" s="14"/>
    </row>
    <row r="111" spans="1:86" s="77" customFormat="1" ht="49.95" customHeight="1" x14ac:dyDescent="0.3">
      <c r="A111" s="66">
        <f t="shared" si="3"/>
        <v>716</v>
      </c>
      <c r="B111" s="59">
        <v>2006</v>
      </c>
      <c r="C111" s="59" t="s">
        <v>233</v>
      </c>
      <c r="D111" s="59" t="s">
        <v>235</v>
      </c>
      <c r="E111" s="26"/>
      <c r="F111" s="91" t="s">
        <v>67</v>
      </c>
      <c r="G111" s="14"/>
    </row>
    <row r="112" spans="1:86" s="65" customFormat="1" ht="49.95" customHeight="1" x14ac:dyDescent="0.3">
      <c r="A112" s="66">
        <f t="shared" si="3"/>
        <v>717</v>
      </c>
      <c r="B112" s="59">
        <v>2019</v>
      </c>
      <c r="C112" s="59" t="s">
        <v>60</v>
      </c>
      <c r="D112" s="59" t="s">
        <v>61</v>
      </c>
      <c r="E112" s="26"/>
      <c r="F112" s="85" t="s">
        <v>184</v>
      </c>
      <c r="G112" s="14"/>
    </row>
    <row r="113" spans="1:7" s="77" customFormat="1" ht="49.95" customHeight="1" x14ac:dyDescent="0.3">
      <c r="A113" s="66">
        <f t="shared" si="3"/>
        <v>718</v>
      </c>
      <c r="B113" s="59">
        <v>2018</v>
      </c>
      <c r="C113" s="59" t="s">
        <v>236</v>
      </c>
      <c r="D113" s="59" t="s">
        <v>237</v>
      </c>
      <c r="E113" s="26"/>
      <c r="F113" s="85" t="s">
        <v>184</v>
      </c>
      <c r="G113" s="14"/>
    </row>
    <row r="114" spans="1:7" s="65" customFormat="1" ht="49.95" customHeight="1" x14ac:dyDescent="0.3">
      <c r="A114" s="66">
        <f t="shared" si="3"/>
        <v>719</v>
      </c>
      <c r="B114" s="59">
        <v>2003</v>
      </c>
      <c r="C114" s="59" t="s">
        <v>238</v>
      </c>
      <c r="D114" s="59" t="s">
        <v>239</v>
      </c>
      <c r="E114" s="26"/>
      <c r="F114" s="85" t="s">
        <v>67</v>
      </c>
      <c r="G114" s="14"/>
    </row>
    <row r="115" spans="1:7" s="77" customFormat="1" ht="49.95" customHeight="1" x14ac:dyDescent="0.3">
      <c r="A115" s="66">
        <f t="shared" si="3"/>
        <v>720</v>
      </c>
      <c r="B115" s="59">
        <v>2017</v>
      </c>
      <c r="C115" s="59" t="s">
        <v>71</v>
      </c>
      <c r="D115" s="59" t="s">
        <v>240</v>
      </c>
      <c r="E115" s="26"/>
      <c r="F115" s="85" t="s">
        <v>184</v>
      </c>
      <c r="G115" s="14"/>
    </row>
    <row r="116" spans="1:7" s="65" customFormat="1" ht="49.95" customHeight="1" x14ac:dyDescent="0.3">
      <c r="A116" s="66">
        <f t="shared" si="3"/>
        <v>721</v>
      </c>
      <c r="B116" s="59">
        <v>2017</v>
      </c>
      <c r="C116" s="59" t="s">
        <v>216</v>
      </c>
      <c r="D116" s="59" t="s">
        <v>241</v>
      </c>
      <c r="E116" s="26"/>
      <c r="F116" s="85" t="s">
        <v>145</v>
      </c>
      <c r="G116" s="14"/>
    </row>
    <row r="117" spans="1:7" s="77" customFormat="1" ht="49.95" customHeight="1" x14ac:dyDescent="0.3">
      <c r="A117" s="66">
        <f t="shared" si="3"/>
        <v>722</v>
      </c>
      <c r="B117" s="59">
        <v>2017</v>
      </c>
      <c r="C117" s="59" t="s">
        <v>216</v>
      </c>
      <c r="D117" s="59" t="s">
        <v>242</v>
      </c>
      <c r="E117" s="26"/>
      <c r="F117" s="85" t="s">
        <v>145</v>
      </c>
      <c r="G117" s="14"/>
    </row>
    <row r="118" spans="1:7" s="75" customFormat="1" ht="49.95" customHeight="1" x14ac:dyDescent="0.3">
      <c r="A118" s="66">
        <f t="shared" si="3"/>
        <v>723</v>
      </c>
      <c r="B118" s="59">
        <v>2017</v>
      </c>
      <c r="C118" s="59" t="s">
        <v>216</v>
      </c>
      <c r="D118" s="59" t="s">
        <v>243</v>
      </c>
      <c r="E118" s="26"/>
      <c r="F118" s="85" t="s">
        <v>145</v>
      </c>
      <c r="G118" s="14"/>
    </row>
    <row r="119" spans="1:7" s="75" customFormat="1" ht="49.95" customHeight="1" x14ac:dyDescent="0.3">
      <c r="A119" s="66">
        <f t="shared" si="3"/>
        <v>724</v>
      </c>
      <c r="B119" s="59">
        <v>2017</v>
      </c>
      <c r="C119" s="59" t="s">
        <v>216</v>
      </c>
      <c r="D119" s="59" t="s">
        <v>244</v>
      </c>
      <c r="E119" s="26"/>
      <c r="F119" s="85" t="s">
        <v>145</v>
      </c>
      <c r="G119" s="14"/>
    </row>
    <row r="120" spans="1:7" s="75" customFormat="1" ht="49.95" customHeight="1" x14ac:dyDescent="0.3">
      <c r="A120" s="66">
        <f t="shared" si="3"/>
        <v>725</v>
      </c>
      <c r="B120" s="59">
        <v>2014</v>
      </c>
      <c r="C120" s="59" t="s">
        <v>245</v>
      </c>
      <c r="D120" s="59" t="s">
        <v>246</v>
      </c>
      <c r="E120" s="26"/>
      <c r="F120" s="85" t="s">
        <v>67</v>
      </c>
      <c r="G120" s="14"/>
    </row>
    <row r="121" spans="1:7" s="75" customFormat="1" ht="49.95" customHeight="1" x14ac:dyDescent="0.3">
      <c r="A121" s="66">
        <f t="shared" si="3"/>
        <v>726</v>
      </c>
      <c r="B121" s="59">
        <v>2017</v>
      </c>
      <c r="C121" s="59" t="s">
        <v>247</v>
      </c>
      <c r="D121" s="59" t="s">
        <v>248</v>
      </c>
      <c r="E121" s="86" t="s">
        <v>249</v>
      </c>
      <c r="F121" s="85" t="s">
        <v>49</v>
      </c>
      <c r="G121" s="14"/>
    </row>
    <row r="122" spans="1:7" s="75" customFormat="1" ht="49.95" customHeight="1" x14ac:dyDescent="0.3">
      <c r="A122" s="66">
        <f t="shared" si="3"/>
        <v>727</v>
      </c>
      <c r="B122" s="59">
        <v>2009</v>
      </c>
      <c r="C122" s="59" t="s">
        <v>250</v>
      </c>
      <c r="D122" s="59" t="s">
        <v>251</v>
      </c>
      <c r="E122" s="26"/>
      <c r="F122" s="85" t="s">
        <v>67</v>
      </c>
      <c r="G122" s="14"/>
    </row>
    <row r="123" spans="1:7" s="75" customFormat="1" ht="49.95" customHeight="1" x14ac:dyDescent="0.3">
      <c r="A123" s="66">
        <f t="shared" si="3"/>
        <v>728</v>
      </c>
      <c r="B123" s="59">
        <v>2019</v>
      </c>
      <c r="C123" s="59" t="s">
        <v>252</v>
      </c>
      <c r="D123" s="59" t="s">
        <v>253</v>
      </c>
      <c r="E123" s="92"/>
      <c r="F123" s="85" t="s">
        <v>254</v>
      </c>
      <c r="G123" s="14"/>
    </row>
    <row r="124" spans="1:7" s="75" customFormat="1" ht="49.95" customHeight="1" x14ac:dyDescent="0.3">
      <c r="A124" s="66">
        <f t="shared" si="3"/>
        <v>729</v>
      </c>
      <c r="B124" s="59">
        <v>2021</v>
      </c>
      <c r="C124" s="59" t="s">
        <v>255</v>
      </c>
      <c r="D124" s="59" t="s">
        <v>256</v>
      </c>
      <c r="E124" s="86" t="s">
        <v>257</v>
      </c>
      <c r="F124" s="85" t="s">
        <v>49</v>
      </c>
      <c r="G124" s="14"/>
    </row>
    <row r="125" spans="1:7" s="75" customFormat="1" ht="49.95" customHeight="1" x14ac:dyDescent="0.3">
      <c r="A125" s="66">
        <f t="shared" si="3"/>
        <v>730</v>
      </c>
      <c r="B125" s="59">
        <v>2020</v>
      </c>
      <c r="C125" s="59" t="s">
        <v>207</v>
      </c>
      <c r="D125" s="59" t="s">
        <v>208</v>
      </c>
      <c r="E125" s="26"/>
      <c r="F125" s="85" t="s">
        <v>184</v>
      </c>
      <c r="G125" s="14"/>
    </row>
    <row r="126" spans="1:7" s="75" customFormat="1" ht="49.95" customHeight="1" x14ac:dyDescent="0.3">
      <c r="A126" s="66">
        <f t="shared" si="3"/>
        <v>731</v>
      </c>
      <c r="B126" s="59">
        <v>2019</v>
      </c>
      <c r="C126" s="59" t="s">
        <v>258</v>
      </c>
      <c r="D126" s="59" t="s">
        <v>259</v>
      </c>
      <c r="E126" s="93" t="s">
        <v>260</v>
      </c>
      <c r="F126" s="85" t="s">
        <v>261</v>
      </c>
      <c r="G126" s="14"/>
    </row>
    <row r="127" spans="1:7" s="75" customFormat="1" ht="49.95" customHeight="1" x14ac:dyDescent="0.3">
      <c r="A127" s="66">
        <f t="shared" si="3"/>
        <v>732</v>
      </c>
      <c r="B127" s="59">
        <v>2016</v>
      </c>
      <c r="C127" s="59" t="s">
        <v>262</v>
      </c>
      <c r="D127" s="59" t="s">
        <v>263</v>
      </c>
      <c r="E127" s="26"/>
      <c r="F127" s="85" t="s">
        <v>145</v>
      </c>
      <c r="G127" s="14"/>
    </row>
    <row r="128" spans="1:7" s="75" customFormat="1" ht="49.95" customHeight="1" x14ac:dyDescent="0.3">
      <c r="A128" s="66">
        <f t="shared" si="3"/>
        <v>733</v>
      </c>
      <c r="B128" s="59">
        <v>2004</v>
      </c>
      <c r="C128" s="59" t="s">
        <v>264</v>
      </c>
      <c r="D128" s="59" t="s">
        <v>265</v>
      </c>
      <c r="E128" s="26"/>
      <c r="F128" s="85" t="s">
        <v>67</v>
      </c>
      <c r="G128" s="14"/>
    </row>
    <row r="129" spans="1:7" s="75" customFormat="1" ht="49.95" customHeight="1" x14ac:dyDescent="0.3">
      <c r="A129" s="66">
        <f t="shared" si="3"/>
        <v>734</v>
      </c>
      <c r="B129" s="59">
        <v>2006</v>
      </c>
      <c r="C129" s="59" t="s">
        <v>266</v>
      </c>
      <c r="D129" s="59" t="s">
        <v>267</v>
      </c>
      <c r="E129" s="26"/>
      <c r="F129" s="85" t="s">
        <v>67</v>
      </c>
      <c r="G129" s="14"/>
    </row>
    <row r="130" spans="1:7" s="75" customFormat="1" ht="49.95" customHeight="1" x14ac:dyDescent="0.3">
      <c r="A130" s="66">
        <f t="shared" si="3"/>
        <v>735</v>
      </c>
      <c r="B130" s="59">
        <v>2019</v>
      </c>
      <c r="C130" s="59" t="s">
        <v>103</v>
      </c>
      <c r="D130" s="59" t="s">
        <v>268</v>
      </c>
      <c r="E130" s="26"/>
      <c r="F130" s="85" t="s">
        <v>184</v>
      </c>
      <c r="G130" s="14"/>
    </row>
    <row r="131" spans="1:7" s="75" customFormat="1" ht="49.95" customHeight="1" x14ac:dyDescent="0.3">
      <c r="A131" s="66">
        <f t="shared" si="3"/>
        <v>736</v>
      </c>
      <c r="B131" s="59">
        <v>2013</v>
      </c>
      <c r="C131" s="59" t="s">
        <v>269</v>
      </c>
      <c r="D131" s="59" t="s">
        <v>270</v>
      </c>
      <c r="E131" s="26"/>
      <c r="F131" s="85" t="s">
        <v>67</v>
      </c>
      <c r="G131" s="14"/>
    </row>
    <row r="132" spans="1:7" s="75" customFormat="1" ht="49.95" customHeight="1" x14ac:dyDescent="0.3">
      <c r="A132" s="66">
        <f t="shared" si="3"/>
        <v>737</v>
      </c>
      <c r="B132" s="59">
        <v>2013</v>
      </c>
      <c r="C132" s="59" t="s">
        <v>271</v>
      </c>
      <c r="D132" s="59" t="s">
        <v>272</v>
      </c>
      <c r="E132" s="26"/>
      <c r="F132" s="85" t="s">
        <v>67</v>
      </c>
      <c r="G132" s="14"/>
    </row>
    <row r="133" spans="1:7" s="75" customFormat="1" ht="49.95" customHeight="1" x14ac:dyDescent="0.3">
      <c r="A133" s="66">
        <f t="shared" si="3"/>
        <v>738</v>
      </c>
      <c r="B133" s="59">
        <v>2009</v>
      </c>
      <c r="C133" s="59" t="s">
        <v>273</v>
      </c>
      <c r="D133" s="59" t="s">
        <v>274</v>
      </c>
      <c r="E133" s="26"/>
      <c r="F133" s="85" t="s">
        <v>67</v>
      </c>
      <c r="G133" s="14"/>
    </row>
    <row r="134" spans="1:7" s="75" customFormat="1" ht="49.95" customHeight="1" x14ac:dyDescent="0.3">
      <c r="A134" s="66">
        <f t="shared" si="3"/>
        <v>739</v>
      </c>
      <c r="B134" s="59">
        <v>2015</v>
      </c>
      <c r="C134" s="59" t="s">
        <v>275</v>
      </c>
      <c r="D134" s="59" t="s">
        <v>276</v>
      </c>
      <c r="E134" s="86" t="s">
        <v>277</v>
      </c>
      <c r="F134" s="85" t="s">
        <v>49</v>
      </c>
      <c r="G134" s="14"/>
    </row>
    <row r="135" spans="1:7" s="75" customFormat="1" ht="49.95" customHeight="1" x14ac:dyDescent="0.3">
      <c r="A135" s="66">
        <f t="shared" si="3"/>
        <v>740</v>
      </c>
      <c r="B135" s="59">
        <v>2013</v>
      </c>
      <c r="C135" s="59" t="s">
        <v>278</v>
      </c>
      <c r="D135" s="59" t="s">
        <v>279</v>
      </c>
      <c r="E135" s="26"/>
      <c r="F135" s="85" t="s">
        <v>67</v>
      </c>
      <c r="G135" s="14"/>
    </row>
    <row r="136" spans="1:7" s="75" customFormat="1" ht="49.95" customHeight="1" x14ac:dyDescent="0.3">
      <c r="A136" s="66">
        <f t="shared" si="3"/>
        <v>741</v>
      </c>
      <c r="B136" s="59">
        <v>2019</v>
      </c>
      <c r="C136" s="59" t="s">
        <v>280</v>
      </c>
      <c r="D136" s="59" t="s">
        <v>281</v>
      </c>
      <c r="E136" s="86" t="s">
        <v>282</v>
      </c>
      <c r="F136" s="85" t="s">
        <v>261</v>
      </c>
      <c r="G136" s="14"/>
    </row>
    <row r="137" spans="1:7" s="75" customFormat="1" ht="49.95" customHeight="1" x14ac:dyDescent="0.3">
      <c r="A137" s="66">
        <f t="shared" si="3"/>
        <v>742</v>
      </c>
      <c r="B137" s="59">
        <v>2016</v>
      </c>
      <c r="C137" s="59" t="s">
        <v>283</v>
      </c>
      <c r="D137" s="59" t="s">
        <v>284</v>
      </c>
      <c r="E137" s="86" t="s">
        <v>285</v>
      </c>
      <c r="F137" s="85" t="s">
        <v>286</v>
      </c>
      <c r="G137" s="14"/>
    </row>
    <row r="138" spans="1:7" s="75" customFormat="1" ht="49.95" customHeight="1" x14ac:dyDescent="0.3">
      <c r="A138" s="66">
        <f t="shared" si="3"/>
        <v>743</v>
      </c>
      <c r="B138" s="59">
        <v>2009</v>
      </c>
      <c r="C138" s="59" t="s">
        <v>287</v>
      </c>
      <c r="D138" s="59" t="s">
        <v>288</v>
      </c>
      <c r="E138" s="26"/>
      <c r="F138" s="85" t="s">
        <v>67</v>
      </c>
      <c r="G138" s="14"/>
    </row>
    <row r="139" spans="1:7" s="75" customFormat="1" ht="49.95" customHeight="1" x14ac:dyDescent="0.3">
      <c r="A139" s="66">
        <f t="shared" si="3"/>
        <v>744</v>
      </c>
      <c r="B139" s="59">
        <v>2013</v>
      </c>
      <c r="C139" s="59" t="s">
        <v>289</v>
      </c>
      <c r="D139" s="59" t="s">
        <v>290</v>
      </c>
      <c r="E139" s="26"/>
      <c r="F139" s="85" t="s">
        <v>67</v>
      </c>
      <c r="G139" s="14"/>
    </row>
    <row r="140" spans="1:7" s="75" customFormat="1" ht="49.95" customHeight="1" x14ac:dyDescent="0.3">
      <c r="A140" s="66">
        <f t="shared" si="3"/>
        <v>745</v>
      </c>
      <c r="B140" s="59">
        <v>2012</v>
      </c>
      <c r="C140" s="59" t="s">
        <v>291</v>
      </c>
      <c r="D140" s="59" t="s">
        <v>292</v>
      </c>
      <c r="E140" s="26"/>
      <c r="F140" s="85" t="s">
        <v>67</v>
      </c>
      <c r="G140" s="14"/>
    </row>
    <row r="141" spans="1:7" s="75" customFormat="1" ht="49.95" customHeight="1" x14ac:dyDescent="0.3">
      <c r="A141" s="66">
        <f t="shared" si="3"/>
        <v>746</v>
      </c>
      <c r="B141" s="59">
        <v>2011</v>
      </c>
      <c r="C141" s="59" t="s">
        <v>293</v>
      </c>
      <c r="D141" s="59" t="s">
        <v>294</v>
      </c>
      <c r="E141" s="26"/>
      <c r="F141" s="85" t="s">
        <v>67</v>
      </c>
      <c r="G141" s="14"/>
    </row>
    <row r="142" spans="1:7" s="75" customFormat="1" ht="49.95" customHeight="1" x14ac:dyDescent="0.3">
      <c r="A142" s="66">
        <f t="shared" si="3"/>
        <v>747</v>
      </c>
      <c r="B142" s="59">
        <v>2008</v>
      </c>
      <c r="C142" s="59" t="s">
        <v>295</v>
      </c>
      <c r="D142" s="59" t="s">
        <v>296</v>
      </c>
      <c r="E142" s="26"/>
      <c r="F142" s="85" t="s">
        <v>67</v>
      </c>
      <c r="G142" s="94"/>
    </row>
    <row r="143" spans="1:7" s="75" customFormat="1" ht="49.95" customHeight="1" x14ac:dyDescent="0.3">
      <c r="A143" s="66">
        <f t="shared" si="3"/>
        <v>748</v>
      </c>
      <c r="B143" s="59">
        <v>2014</v>
      </c>
      <c r="C143" s="59" t="s">
        <v>60</v>
      </c>
      <c r="D143" s="59" t="s">
        <v>297</v>
      </c>
      <c r="E143" s="26"/>
      <c r="F143" s="85" t="s">
        <v>67</v>
      </c>
      <c r="G143" s="94"/>
    </row>
    <row r="144" spans="1:7" s="75" customFormat="1" ht="49.95" customHeight="1" x14ac:dyDescent="0.3">
      <c r="A144" s="66">
        <f t="shared" si="3"/>
        <v>749</v>
      </c>
      <c r="B144" s="59">
        <v>1995</v>
      </c>
      <c r="C144" s="59" t="s">
        <v>298</v>
      </c>
      <c r="D144" s="59" t="s">
        <v>299</v>
      </c>
      <c r="E144" s="26"/>
      <c r="F144" s="85" t="s">
        <v>67</v>
      </c>
      <c r="G144" s="94"/>
    </row>
    <row r="145" spans="1:7" s="75" customFormat="1" ht="49.95" customHeight="1" x14ac:dyDescent="0.3">
      <c r="A145" s="66">
        <f t="shared" si="3"/>
        <v>750</v>
      </c>
      <c r="B145" s="59">
        <v>2015</v>
      </c>
      <c r="C145" s="59" t="s">
        <v>300</v>
      </c>
      <c r="D145" s="59" t="s">
        <v>301</v>
      </c>
      <c r="E145" s="86" t="s">
        <v>302</v>
      </c>
      <c r="F145" s="85" t="s">
        <v>261</v>
      </c>
      <c r="G145" s="94"/>
    </row>
    <row r="146" spans="1:7" s="75" customFormat="1" ht="49.95" customHeight="1" x14ac:dyDescent="0.3">
      <c r="A146" s="66">
        <f t="shared" si="3"/>
        <v>751</v>
      </c>
      <c r="B146" s="59">
        <v>2017</v>
      </c>
      <c r="C146" s="59" t="s">
        <v>303</v>
      </c>
      <c r="D146" s="59" t="s">
        <v>304</v>
      </c>
      <c r="E146" s="92"/>
      <c r="F146" s="97"/>
      <c r="G146" s="68" t="s">
        <v>127</v>
      </c>
    </row>
    <row r="147" spans="1:7" s="75" customFormat="1" ht="49.95" customHeight="1" x14ac:dyDescent="0.3">
      <c r="A147" s="66">
        <f t="shared" si="3"/>
        <v>752</v>
      </c>
      <c r="B147" s="59">
        <v>2015</v>
      </c>
      <c r="C147" s="59" t="s">
        <v>305</v>
      </c>
      <c r="D147" s="59" t="s">
        <v>306</v>
      </c>
      <c r="E147" s="26"/>
      <c r="F147" s="85" t="s">
        <v>145</v>
      </c>
      <c r="G147" s="94"/>
    </row>
    <row r="148" spans="1:7" s="75" customFormat="1" ht="49.95" customHeight="1" x14ac:dyDescent="0.3">
      <c r="A148" s="66">
        <f t="shared" si="3"/>
        <v>753</v>
      </c>
      <c r="B148" s="59">
        <v>2017</v>
      </c>
      <c r="C148" s="59" t="s">
        <v>307</v>
      </c>
      <c r="D148" s="59" t="s">
        <v>93</v>
      </c>
      <c r="E148" s="26"/>
      <c r="F148" s="85" t="s">
        <v>184</v>
      </c>
      <c r="G148" s="94"/>
    </row>
    <row r="149" spans="1:7" s="75" customFormat="1" ht="49.95" customHeight="1" x14ac:dyDescent="0.3">
      <c r="A149" s="66">
        <f t="shared" si="3"/>
        <v>754</v>
      </c>
      <c r="B149" s="59">
        <v>2018</v>
      </c>
      <c r="C149" s="59" t="s">
        <v>308</v>
      </c>
      <c r="D149" s="59" t="s">
        <v>309</v>
      </c>
      <c r="E149" s="26"/>
      <c r="F149" s="85" t="s">
        <v>184</v>
      </c>
      <c r="G149" s="94"/>
    </row>
    <row r="150" spans="1:7" s="75" customFormat="1" ht="49.95" customHeight="1" x14ac:dyDescent="0.3">
      <c r="A150" s="66">
        <f t="shared" si="3"/>
        <v>755</v>
      </c>
      <c r="B150" s="59">
        <v>2023</v>
      </c>
      <c r="C150" s="59" t="s">
        <v>310</v>
      </c>
      <c r="D150" s="59" t="s">
        <v>311</v>
      </c>
      <c r="E150" s="26"/>
      <c r="F150" s="85" t="s">
        <v>184</v>
      </c>
      <c r="G150" s="94"/>
    </row>
    <row r="151" spans="1:7" s="75" customFormat="1" ht="49.95" customHeight="1" x14ac:dyDescent="0.3">
      <c r="A151" s="66">
        <f t="shared" si="3"/>
        <v>756</v>
      </c>
      <c r="B151" s="59">
        <v>2025</v>
      </c>
      <c r="C151" s="59" t="s">
        <v>312</v>
      </c>
      <c r="D151" s="59" t="s">
        <v>313</v>
      </c>
      <c r="E151" s="92"/>
      <c r="F151" s="98"/>
      <c r="G151" s="68" t="s">
        <v>70</v>
      </c>
    </row>
    <row r="152" spans="1:7" s="75" customFormat="1" ht="49.95" customHeight="1" x14ac:dyDescent="0.3">
      <c r="A152" s="66">
        <f t="shared" si="3"/>
        <v>757</v>
      </c>
      <c r="B152" s="59">
        <v>2023</v>
      </c>
      <c r="C152" s="59" t="s">
        <v>314</v>
      </c>
      <c r="D152" s="59" t="s">
        <v>315</v>
      </c>
      <c r="E152" s="92"/>
      <c r="F152" s="98"/>
      <c r="G152" s="68" t="s">
        <v>70</v>
      </c>
    </row>
    <row r="153" spans="1:7" s="75" customFormat="1" ht="49.95" customHeight="1" x14ac:dyDescent="0.3">
      <c r="A153" s="66">
        <f t="shared" si="3"/>
        <v>758</v>
      </c>
      <c r="B153" s="59">
        <v>2024</v>
      </c>
      <c r="C153" s="59" t="s">
        <v>316</v>
      </c>
      <c r="D153" s="59" t="s">
        <v>317</v>
      </c>
      <c r="E153" s="26"/>
      <c r="F153" s="85" t="s">
        <v>145</v>
      </c>
      <c r="G153" s="94"/>
    </row>
    <row r="154" spans="1:7" s="75" customFormat="1" ht="49.95" customHeight="1" x14ac:dyDescent="0.3">
      <c r="A154" s="66">
        <f t="shared" si="3"/>
        <v>759</v>
      </c>
      <c r="B154" s="59">
        <v>2024</v>
      </c>
      <c r="C154" s="59" t="s">
        <v>318</v>
      </c>
      <c r="D154" s="59" t="s">
        <v>319</v>
      </c>
      <c r="E154" s="26"/>
      <c r="F154" s="85" t="s">
        <v>184</v>
      </c>
      <c r="G154" s="94"/>
    </row>
    <row r="155" spans="1:7" s="75" customFormat="1" ht="49.95" customHeight="1" x14ac:dyDescent="0.3">
      <c r="A155" s="66">
        <f t="shared" si="3"/>
        <v>760</v>
      </c>
      <c r="B155" s="59">
        <v>2025</v>
      </c>
      <c r="C155" s="59" t="s">
        <v>320</v>
      </c>
      <c r="D155" s="59" t="s">
        <v>7</v>
      </c>
      <c r="E155" s="26"/>
      <c r="F155" s="85" t="s">
        <v>184</v>
      </c>
      <c r="G155" s="94"/>
    </row>
    <row r="156" spans="1:7" s="75" customFormat="1" ht="49.95" customHeight="1" x14ac:dyDescent="0.3">
      <c r="A156" s="66">
        <f t="shared" si="3"/>
        <v>761</v>
      </c>
      <c r="B156" s="59">
        <v>2024</v>
      </c>
      <c r="C156" s="59" t="s">
        <v>321</v>
      </c>
      <c r="D156" s="59" t="s">
        <v>322</v>
      </c>
      <c r="E156" s="26"/>
      <c r="F156" s="85" t="s">
        <v>184</v>
      </c>
      <c r="G156" s="94"/>
    </row>
    <row r="157" spans="1:7" s="75" customFormat="1" ht="49.95" customHeight="1" x14ac:dyDescent="0.3">
      <c r="A157" s="66">
        <f t="shared" si="3"/>
        <v>762</v>
      </c>
      <c r="B157" s="59">
        <v>2025</v>
      </c>
      <c r="C157" s="59" t="s">
        <v>323</v>
      </c>
      <c r="D157" s="59" t="s">
        <v>324</v>
      </c>
      <c r="E157" s="92"/>
      <c r="F157" s="98"/>
      <c r="G157" s="68" t="s">
        <v>70</v>
      </c>
    </row>
    <row r="158" spans="1:7" s="75" customFormat="1" ht="76.2" customHeight="1" x14ac:dyDescent="0.3">
      <c r="A158" s="66">
        <f t="shared" si="3"/>
        <v>763</v>
      </c>
      <c r="B158" s="59">
        <v>2025</v>
      </c>
      <c r="C158" s="59" t="s">
        <v>325</v>
      </c>
      <c r="D158" s="59" t="s">
        <v>326</v>
      </c>
      <c r="E158" s="92"/>
      <c r="F158" s="98"/>
      <c r="G158" s="68" t="s">
        <v>127</v>
      </c>
    </row>
    <row r="159" spans="1:7" s="75" customFormat="1" ht="148.19999999999999" customHeight="1" x14ac:dyDescent="0.3">
      <c r="A159" s="66">
        <f t="shared" si="3"/>
        <v>764</v>
      </c>
      <c r="B159" s="59">
        <v>2025</v>
      </c>
      <c r="C159" s="59" t="s">
        <v>327</v>
      </c>
      <c r="D159" s="59" t="s">
        <v>328</v>
      </c>
      <c r="E159" s="92"/>
      <c r="F159" s="98"/>
      <c r="G159" s="68" t="s">
        <v>70</v>
      </c>
    </row>
    <row r="160" spans="1:7" s="75" customFormat="1" ht="39.6" customHeight="1" x14ac:dyDescent="0.3">
      <c r="A160" s="66">
        <f t="shared" si="3"/>
        <v>765</v>
      </c>
      <c r="B160" s="59">
        <v>2023</v>
      </c>
      <c r="C160" s="59" t="s">
        <v>329</v>
      </c>
      <c r="D160" s="59" t="s">
        <v>330</v>
      </c>
      <c r="E160" s="92"/>
      <c r="F160" s="98"/>
      <c r="G160" s="68" t="s">
        <v>331</v>
      </c>
    </row>
    <row r="161" spans="1:23" ht="23.4" x14ac:dyDescent="0.45">
      <c r="A161" s="44" t="s">
        <v>0</v>
      </c>
      <c r="B161" s="44" t="s">
        <v>1</v>
      </c>
      <c r="C161" s="44" t="s">
        <v>2</v>
      </c>
      <c r="D161" s="45" t="s">
        <v>3</v>
      </c>
      <c r="E161" s="45" t="s">
        <v>4</v>
      </c>
      <c r="F161" s="46" t="s">
        <v>5</v>
      </c>
      <c r="G161" s="47"/>
      <c r="H161" s="185"/>
      <c r="I161" s="185"/>
      <c r="J161" s="185"/>
      <c r="K161" s="187"/>
      <c r="L161" s="188"/>
      <c r="M161" s="189"/>
      <c r="N161" s="188"/>
      <c r="O161" s="185"/>
      <c r="P161" s="189"/>
      <c r="Q161" s="186"/>
      <c r="R161" s="186"/>
      <c r="S161" s="186"/>
      <c r="T161" s="186"/>
      <c r="U161" s="186"/>
      <c r="V161" s="186"/>
      <c r="W161" s="186"/>
    </row>
    <row r="162" spans="1:23" ht="46.8" x14ac:dyDescent="0.45">
      <c r="A162" s="49">
        <v>226</v>
      </c>
      <c r="B162" s="50">
        <v>2019</v>
      </c>
      <c r="C162" s="50" t="s">
        <v>332</v>
      </c>
      <c r="D162" s="51" t="s">
        <v>333</v>
      </c>
      <c r="E162" s="99" t="s">
        <v>334</v>
      </c>
      <c r="F162" s="53" t="s">
        <v>335</v>
      </c>
      <c r="G162" s="54"/>
      <c r="H162" s="185"/>
      <c r="I162" s="185"/>
      <c r="J162" s="185"/>
      <c r="K162" s="187"/>
      <c r="L162" s="188"/>
      <c r="M162" s="189"/>
      <c r="N162" s="188"/>
      <c r="O162" s="185"/>
      <c r="P162" s="189"/>
      <c r="Q162" s="186"/>
      <c r="R162" s="186"/>
      <c r="S162" s="186"/>
      <c r="T162" s="186"/>
      <c r="U162" s="186"/>
      <c r="V162" s="186"/>
      <c r="W162" s="186"/>
    </row>
    <row r="163" spans="1:23" ht="14.4" customHeight="1" x14ac:dyDescent="0.3">
      <c r="A163" s="208" t="s">
        <v>10</v>
      </c>
      <c r="B163" s="209"/>
      <c r="C163" s="209"/>
      <c r="D163" s="209"/>
      <c r="E163" s="210"/>
      <c r="F163" s="205" t="s">
        <v>1733</v>
      </c>
      <c r="G163" s="200"/>
      <c r="H163" s="183"/>
      <c r="I163" s="186"/>
      <c r="J163" s="186"/>
      <c r="K163" s="186"/>
      <c r="L163" s="186"/>
      <c r="M163" s="186"/>
      <c r="N163" s="186"/>
      <c r="O163" s="186"/>
      <c r="P163" s="186"/>
      <c r="Q163" s="186"/>
      <c r="R163" s="186"/>
      <c r="S163" s="186"/>
      <c r="T163" s="186"/>
      <c r="U163" s="186"/>
      <c r="V163" s="186"/>
      <c r="W163" s="186"/>
    </row>
    <row r="164" spans="1:23" ht="14.4" customHeight="1" x14ac:dyDescent="0.3">
      <c r="A164" s="208"/>
      <c r="B164" s="209"/>
      <c r="C164" s="209"/>
      <c r="D164" s="209"/>
      <c r="E164" s="210"/>
      <c r="F164" s="206"/>
      <c r="G164" s="202"/>
      <c r="H164" s="183"/>
      <c r="I164" s="186"/>
      <c r="J164" s="186"/>
      <c r="K164" s="186"/>
      <c r="L164" s="186"/>
      <c r="M164" s="186"/>
      <c r="N164" s="186"/>
      <c r="O164" s="186"/>
      <c r="P164" s="186"/>
      <c r="Q164" s="186"/>
      <c r="R164" s="186"/>
      <c r="S164" s="186"/>
      <c r="T164" s="186"/>
      <c r="U164" s="186"/>
      <c r="V164" s="186"/>
      <c r="W164" s="186"/>
    </row>
    <row r="165" spans="1:23" ht="14.4" customHeight="1" x14ac:dyDescent="0.3">
      <c r="A165" s="208"/>
      <c r="B165" s="209"/>
      <c r="C165" s="209"/>
      <c r="D165" s="209"/>
      <c r="E165" s="210"/>
      <c r="F165" s="207"/>
      <c r="G165" s="204"/>
      <c r="H165" s="183"/>
      <c r="I165" s="186"/>
      <c r="J165" s="186"/>
      <c r="K165" s="186"/>
      <c r="L165" s="186"/>
      <c r="M165" s="186"/>
      <c r="N165" s="186"/>
      <c r="O165" s="186"/>
      <c r="P165" s="186"/>
      <c r="Q165" s="186"/>
      <c r="R165" s="186"/>
      <c r="S165" s="186"/>
      <c r="T165" s="186"/>
      <c r="U165" s="186"/>
      <c r="V165" s="186"/>
      <c r="W165" s="186"/>
    </row>
    <row r="166" spans="1:23" ht="15.6" x14ac:dyDescent="0.3">
      <c r="A166" s="56" t="s">
        <v>12</v>
      </c>
      <c r="B166" s="55" t="s">
        <v>13</v>
      </c>
      <c r="C166" s="55" t="s">
        <v>14</v>
      </c>
      <c r="D166" s="55" t="s">
        <v>15</v>
      </c>
      <c r="E166" s="57" t="s">
        <v>16</v>
      </c>
      <c r="F166" s="56" t="s">
        <v>1735</v>
      </c>
      <c r="G166" s="55" t="s">
        <v>1737</v>
      </c>
      <c r="H166" s="186"/>
      <c r="I166" s="186"/>
      <c r="J166" s="186"/>
      <c r="K166" s="186"/>
      <c r="L166" s="186"/>
      <c r="M166" s="186"/>
      <c r="N166" s="186"/>
      <c r="O166" s="186"/>
      <c r="P166" s="186"/>
      <c r="Q166" s="186"/>
      <c r="R166" s="186"/>
      <c r="S166" s="186"/>
      <c r="T166" s="186"/>
      <c r="U166" s="186"/>
      <c r="V166" s="186"/>
      <c r="W166" s="186"/>
    </row>
    <row r="167" spans="1:23" s="75" customFormat="1" ht="49.95" customHeight="1" x14ac:dyDescent="0.3">
      <c r="A167" s="66">
        <f>SUM(A160,1)</f>
        <v>766</v>
      </c>
      <c r="B167" s="59">
        <v>2010</v>
      </c>
      <c r="C167" s="59" t="s">
        <v>336</v>
      </c>
      <c r="D167" s="59" t="s">
        <v>337</v>
      </c>
      <c r="E167" s="26"/>
      <c r="F167" s="85" t="s">
        <v>67</v>
      </c>
      <c r="G167" s="14"/>
    </row>
    <row r="168" spans="1:23" s="75" customFormat="1" ht="49.95" customHeight="1" x14ac:dyDescent="0.3">
      <c r="A168" s="66">
        <f>SUM(A167,1)</f>
        <v>767</v>
      </c>
      <c r="B168" s="59">
        <v>2017</v>
      </c>
      <c r="C168" s="59" t="s">
        <v>338</v>
      </c>
      <c r="D168" s="59" t="s">
        <v>339</v>
      </c>
      <c r="E168" s="26"/>
      <c r="F168" s="85" t="s">
        <v>145</v>
      </c>
      <c r="G168" s="14"/>
    </row>
    <row r="169" spans="1:23" s="75" customFormat="1" ht="49.95" customHeight="1" x14ac:dyDescent="0.3">
      <c r="A169" s="66">
        <f>SUM(A168,1)</f>
        <v>768</v>
      </c>
      <c r="B169" s="59">
        <v>2017</v>
      </c>
      <c r="C169" s="59" t="s">
        <v>340</v>
      </c>
      <c r="D169" s="59" t="s">
        <v>341</v>
      </c>
      <c r="E169" s="26"/>
      <c r="F169" s="85" t="s">
        <v>145</v>
      </c>
      <c r="G169" s="14"/>
    </row>
    <row r="170" spans="1:23" s="75" customFormat="1" ht="49.95" customHeight="1" x14ac:dyDescent="0.3">
      <c r="A170" s="66">
        <f t="shared" ref="A170:A233" si="4">SUM(A169,1)</f>
        <v>769</v>
      </c>
      <c r="B170" s="59">
        <v>2015</v>
      </c>
      <c r="C170" s="59" t="s">
        <v>172</v>
      </c>
      <c r="D170" s="59" t="s">
        <v>342</v>
      </c>
      <c r="E170" s="92"/>
      <c r="F170" s="100"/>
      <c r="G170" s="68" t="s">
        <v>70</v>
      </c>
    </row>
    <row r="171" spans="1:23" s="75" customFormat="1" ht="49.95" customHeight="1" x14ac:dyDescent="0.3">
      <c r="A171" s="66">
        <f t="shared" si="4"/>
        <v>770</v>
      </c>
      <c r="B171" s="59">
        <v>2016</v>
      </c>
      <c r="C171" s="59" t="s">
        <v>343</v>
      </c>
      <c r="D171" s="59" t="s">
        <v>344</v>
      </c>
      <c r="E171" s="92"/>
      <c r="F171" s="101"/>
      <c r="G171" s="68" t="s">
        <v>331</v>
      </c>
    </row>
    <row r="172" spans="1:23" s="75" customFormat="1" ht="49.95" customHeight="1" x14ac:dyDescent="0.3">
      <c r="A172" s="66">
        <f t="shared" si="4"/>
        <v>771</v>
      </c>
      <c r="B172" s="59">
        <v>2013</v>
      </c>
      <c r="C172" s="59" t="s">
        <v>345</v>
      </c>
      <c r="D172" s="59" t="s">
        <v>346</v>
      </c>
      <c r="E172" s="79"/>
      <c r="F172" s="85" t="s">
        <v>67</v>
      </c>
      <c r="G172" s="14"/>
    </row>
    <row r="173" spans="1:23" s="75" customFormat="1" ht="49.95" customHeight="1" x14ac:dyDescent="0.3">
      <c r="A173" s="66">
        <f t="shared" si="4"/>
        <v>772</v>
      </c>
      <c r="B173" s="59">
        <v>2018</v>
      </c>
      <c r="C173" s="59" t="s">
        <v>347</v>
      </c>
      <c r="D173" s="59" t="s">
        <v>348</v>
      </c>
      <c r="E173" s="92"/>
      <c r="F173" s="101"/>
      <c r="G173" s="68" t="s">
        <v>127</v>
      </c>
    </row>
    <row r="174" spans="1:23" s="75" customFormat="1" ht="49.95" customHeight="1" x14ac:dyDescent="0.3">
      <c r="A174" s="66">
        <f t="shared" si="4"/>
        <v>773</v>
      </c>
      <c r="B174" s="59">
        <v>2008</v>
      </c>
      <c r="C174" s="59" t="s">
        <v>295</v>
      </c>
      <c r="D174" s="59" t="s">
        <v>296</v>
      </c>
      <c r="E174" s="26"/>
      <c r="F174" s="85" t="s">
        <v>67</v>
      </c>
      <c r="G174" s="14"/>
    </row>
    <row r="175" spans="1:23" s="75" customFormat="1" ht="49.95" customHeight="1" x14ac:dyDescent="0.3">
      <c r="A175" s="66">
        <f t="shared" si="4"/>
        <v>774</v>
      </c>
      <c r="B175" s="59">
        <v>2014</v>
      </c>
      <c r="C175" s="59" t="s">
        <v>349</v>
      </c>
      <c r="D175" s="59" t="s">
        <v>350</v>
      </c>
      <c r="E175" s="26"/>
      <c r="F175" s="85" t="s">
        <v>67</v>
      </c>
      <c r="G175" s="14"/>
    </row>
    <row r="176" spans="1:23" s="75" customFormat="1" ht="49.95" customHeight="1" x14ac:dyDescent="0.3">
      <c r="A176" s="66">
        <f t="shared" si="4"/>
        <v>775</v>
      </c>
      <c r="B176" s="59">
        <v>2016</v>
      </c>
      <c r="C176" s="59" t="s">
        <v>351</v>
      </c>
      <c r="D176" s="59" t="s">
        <v>352</v>
      </c>
      <c r="E176" s="102"/>
      <c r="F176" s="101"/>
      <c r="G176" s="68" t="s">
        <v>127</v>
      </c>
    </row>
    <row r="177" spans="1:7" s="75" customFormat="1" ht="49.95" customHeight="1" x14ac:dyDescent="0.3">
      <c r="A177" s="66">
        <f t="shared" si="4"/>
        <v>776</v>
      </c>
      <c r="B177" s="59">
        <v>2018</v>
      </c>
      <c r="C177" s="59" t="s">
        <v>353</v>
      </c>
      <c r="D177" s="59" t="s">
        <v>28</v>
      </c>
      <c r="E177" s="103"/>
      <c r="F177" s="85" t="s">
        <v>184</v>
      </c>
      <c r="G177" s="14"/>
    </row>
    <row r="178" spans="1:7" s="75" customFormat="1" ht="49.95" customHeight="1" x14ac:dyDescent="0.3">
      <c r="A178" s="66">
        <f t="shared" si="4"/>
        <v>777</v>
      </c>
      <c r="B178" s="59">
        <v>2018</v>
      </c>
      <c r="C178" s="59" t="s">
        <v>308</v>
      </c>
      <c r="D178" s="59" t="s">
        <v>309</v>
      </c>
      <c r="E178" s="79"/>
      <c r="F178" s="85" t="s">
        <v>184</v>
      </c>
      <c r="G178" s="14"/>
    </row>
    <row r="179" spans="1:7" s="75" customFormat="1" ht="49.95" customHeight="1" x14ac:dyDescent="0.3">
      <c r="A179" s="66">
        <f t="shared" si="4"/>
        <v>778</v>
      </c>
      <c r="B179" s="59">
        <v>2017</v>
      </c>
      <c r="C179" s="59" t="s">
        <v>354</v>
      </c>
      <c r="D179" s="59" t="s">
        <v>355</v>
      </c>
      <c r="E179" s="26"/>
      <c r="F179" s="85" t="s">
        <v>145</v>
      </c>
      <c r="G179" s="14"/>
    </row>
    <row r="180" spans="1:7" s="75" customFormat="1" ht="49.95" customHeight="1" x14ac:dyDescent="0.3">
      <c r="A180" s="66">
        <f t="shared" si="4"/>
        <v>779</v>
      </c>
      <c r="B180" s="59">
        <v>2019</v>
      </c>
      <c r="C180" s="59" t="s">
        <v>185</v>
      </c>
      <c r="D180" s="59" t="s">
        <v>356</v>
      </c>
      <c r="E180" s="26"/>
      <c r="F180" s="85" t="s">
        <v>184</v>
      </c>
      <c r="G180" s="14"/>
    </row>
    <row r="181" spans="1:7" s="75" customFormat="1" ht="49.95" customHeight="1" x14ac:dyDescent="0.3">
      <c r="A181" s="66">
        <f t="shared" si="4"/>
        <v>780</v>
      </c>
      <c r="B181" s="59">
        <v>2014</v>
      </c>
      <c r="C181" s="59" t="s">
        <v>357</v>
      </c>
      <c r="D181" s="59" t="s">
        <v>358</v>
      </c>
      <c r="E181" s="26"/>
      <c r="F181" s="85" t="s">
        <v>67</v>
      </c>
      <c r="G181" s="14"/>
    </row>
    <row r="182" spans="1:7" s="75" customFormat="1" ht="49.95" customHeight="1" x14ac:dyDescent="0.3">
      <c r="A182" s="66">
        <f t="shared" si="4"/>
        <v>781</v>
      </c>
      <c r="B182" s="59">
        <v>2010</v>
      </c>
      <c r="C182" s="59" t="s">
        <v>359</v>
      </c>
      <c r="D182" s="59" t="s">
        <v>360</v>
      </c>
      <c r="E182" s="26"/>
      <c r="F182" s="85" t="s">
        <v>67</v>
      </c>
      <c r="G182" s="14"/>
    </row>
    <row r="183" spans="1:7" s="75" customFormat="1" ht="49.95" customHeight="1" x14ac:dyDescent="0.3">
      <c r="A183" s="66">
        <f t="shared" si="4"/>
        <v>782</v>
      </c>
      <c r="B183" s="59">
        <v>2017</v>
      </c>
      <c r="C183" s="59" t="s">
        <v>60</v>
      </c>
      <c r="D183" s="59" t="s">
        <v>361</v>
      </c>
      <c r="E183" s="26"/>
      <c r="F183" s="85" t="s">
        <v>184</v>
      </c>
      <c r="G183" s="14"/>
    </row>
    <row r="184" spans="1:7" s="75" customFormat="1" ht="49.95" customHeight="1" x14ac:dyDescent="0.3">
      <c r="A184" s="66">
        <f t="shared" si="4"/>
        <v>783</v>
      </c>
      <c r="B184" s="59">
        <v>2017</v>
      </c>
      <c r="C184" s="59" t="s">
        <v>354</v>
      </c>
      <c r="D184" s="59" t="s">
        <v>362</v>
      </c>
      <c r="E184" s="26"/>
      <c r="F184" s="85" t="s">
        <v>145</v>
      </c>
      <c r="G184" s="14"/>
    </row>
    <row r="185" spans="1:7" s="75" customFormat="1" ht="49.95" customHeight="1" x14ac:dyDescent="0.3">
      <c r="A185" s="66">
        <f t="shared" si="4"/>
        <v>784</v>
      </c>
      <c r="B185" s="59">
        <v>2013</v>
      </c>
      <c r="C185" s="59" t="s">
        <v>363</v>
      </c>
      <c r="D185" s="59" t="s">
        <v>364</v>
      </c>
      <c r="E185" s="26"/>
      <c r="F185" s="85" t="s">
        <v>67</v>
      </c>
      <c r="G185" s="14"/>
    </row>
    <row r="186" spans="1:7" s="75" customFormat="1" ht="49.95" customHeight="1" x14ac:dyDescent="0.3">
      <c r="A186" s="66">
        <f t="shared" si="4"/>
        <v>785</v>
      </c>
      <c r="B186" s="59">
        <v>2009</v>
      </c>
      <c r="C186" s="59" t="s">
        <v>365</v>
      </c>
      <c r="D186" s="59" t="s">
        <v>366</v>
      </c>
      <c r="E186" s="26"/>
      <c r="F186" s="85" t="s">
        <v>67</v>
      </c>
      <c r="G186" s="14"/>
    </row>
    <row r="187" spans="1:7" s="75" customFormat="1" ht="49.95" customHeight="1" x14ac:dyDescent="0.3">
      <c r="A187" s="66">
        <f t="shared" si="4"/>
        <v>786</v>
      </c>
      <c r="B187" s="59">
        <v>2013</v>
      </c>
      <c r="C187" s="59" t="s">
        <v>271</v>
      </c>
      <c r="D187" s="59" t="s">
        <v>272</v>
      </c>
      <c r="E187" s="26"/>
      <c r="F187" s="85" t="s">
        <v>67</v>
      </c>
      <c r="G187" s="14"/>
    </row>
    <row r="188" spans="1:7" s="75" customFormat="1" ht="49.95" customHeight="1" x14ac:dyDescent="0.3">
      <c r="A188" s="66">
        <f t="shared" si="4"/>
        <v>787</v>
      </c>
      <c r="B188" s="59">
        <v>2013</v>
      </c>
      <c r="C188" s="59" t="s">
        <v>367</v>
      </c>
      <c r="D188" s="59" t="s">
        <v>368</v>
      </c>
      <c r="E188" s="26"/>
      <c r="F188" s="85" t="s">
        <v>67</v>
      </c>
      <c r="G188" s="14"/>
    </row>
    <row r="189" spans="1:7" s="75" customFormat="1" ht="49.95" customHeight="1" x14ac:dyDescent="0.3">
      <c r="A189" s="66">
        <f t="shared" si="4"/>
        <v>788</v>
      </c>
      <c r="B189" s="59">
        <v>2017</v>
      </c>
      <c r="C189" s="59" t="s">
        <v>369</v>
      </c>
      <c r="D189" s="59" t="s">
        <v>370</v>
      </c>
      <c r="E189" s="86" t="s">
        <v>371</v>
      </c>
      <c r="F189" s="85" t="s">
        <v>261</v>
      </c>
      <c r="G189" s="14"/>
    </row>
    <row r="190" spans="1:7" s="75" customFormat="1" ht="49.95" customHeight="1" x14ac:dyDescent="0.3">
      <c r="A190" s="66">
        <f t="shared" si="4"/>
        <v>789</v>
      </c>
      <c r="B190" s="59">
        <v>2017</v>
      </c>
      <c r="C190" s="59" t="s">
        <v>372</v>
      </c>
      <c r="D190" s="59" t="s">
        <v>373</v>
      </c>
      <c r="E190" s="104" t="s">
        <v>374</v>
      </c>
      <c r="F190" s="85" t="s">
        <v>261</v>
      </c>
      <c r="G190" s="14"/>
    </row>
    <row r="191" spans="1:7" s="75" customFormat="1" ht="49.95" customHeight="1" x14ac:dyDescent="0.3">
      <c r="A191" s="66">
        <f t="shared" si="4"/>
        <v>790</v>
      </c>
      <c r="B191" s="59">
        <v>2010</v>
      </c>
      <c r="C191" s="59" t="s">
        <v>375</v>
      </c>
      <c r="D191" s="59" t="s">
        <v>376</v>
      </c>
      <c r="E191" s="26"/>
      <c r="F191" s="85" t="s">
        <v>67</v>
      </c>
      <c r="G191" s="14"/>
    </row>
    <row r="192" spans="1:7" s="75" customFormat="1" ht="49.95" customHeight="1" x14ac:dyDescent="0.3">
      <c r="A192" s="66">
        <f t="shared" si="4"/>
        <v>791</v>
      </c>
      <c r="B192" s="59">
        <v>2017</v>
      </c>
      <c r="C192" s="59" t="s">
        <v>60</v>
      </c>
      <c r="D192" s="59" t="s">
        <v>377</v>
      </c>
      <c r="E192" s="92"/>
      <c r="F192" s="85" t="s">
        <v>261</v>
      </c>
      <c r="G192" s="14"/>
    </row>
    <row r="193" spans="1:7" s="75" customFormat="1" ht="49.95" customHeight="1" x14ac:dyDescent="0.3">
      <c r="A193" s="66">
        <f t="shared" si="4"/>
        <v>792</v>
      </c>
      <c r="B193" s="59">
        <v>2018</v>
      </c>
      <c r="C193" s="59" t="s">
        <v>354</v>
      </c>
      <c r="D193" s="59" t="s">
        <v>378</v>
      </c>
      <c r="E193" s="26"/>
      <c r="F193" s="85" t="s">
        <v>145</v>
      </c>
      <c r="G193" s="14"/>
    </row>
    <row r="194" spans="1:7" s="75" customFormat="1" ht="49.95" customHeight="1" x14ac:dyDescent="0.3">
      <c r="A194" s="66">
        <f t="shared" si="4"/>
        <v>793</v>
      </c>
      <c r="B194" s="59">
        <v>2012</v>
      </c>
      <c r="C194" s="59" t="s">
        <v>379</v>
      </c>
      <c r="D194" s="59" t="s">
        <v>380</v>
      </c>
      <c r="E194" s="26"/>
      <c r="F194" s="85" t="s">
        <v>67</v>
      </c>
      <c r="G194" s="14"/>
    </row>
    <row r="195" spans="1:7" s="75" customFormat="1" ht="49.95" customHeight="1" x14ac:dyDescent="0.3">
      <c r="A195" s="66">
        <f t="shared" si="4"/>
        <v>794</v>
      </c>
      <c r="B195" s="59">
        <v>2016</v>
      </c>
      <c r="C195" s="59" t="s">
        <v>381</v>
      </c>
      <c r="D195" s="59" t="s">
        <v>382</v>
      </c>
      <c r="E195" s="86" t="s">
        <v>383</v>
      </c>
      <c r="F195" s="85" t="s">
        <v>261</v>
      </c>
      <c r="G195" s="14"/>
    </row>
    <row r="196" spans="1:7" s="75" customFormat="1" ht="49.95" customHeight="1" x14ac:dyDescent="0.3">
      <c r="A196" s="66">
        <f t="shared" si="4"/>
        <v>795</v>
      </c>
      <c r="B196" s="59">
        <v>2017</v>
      </c>
      <c r="C196" s="59" t="s">
        <v>207</v>
      </c>
      <c r="D196" s="59" t="s">
        <v>384</v>
      </c>
      <c r="E196" s="92"/>
      <c r="F196" s="85" t="s">
        <v>261</v>
      </c>
      <c r="G196" s="14"/>
    </row>
    <row r="197" spans="1:7" s="75" customFormat="1" ht="49.95" customHeight="1" x14ac:dyDescent="0.25">
      <c r="A197" s="66">
        <f t="shared" si="4"/>
        <v>796</v>
      </c>
      <c r="B197" s="59">
        <v>2018</v>
      </c>
      <c r="C197" s="59" t="s">
        <v>385</v>
      </c>
      <c r="D197" s="59" t="s">
        <v>386</v>
      </c>
      <c r="E197" s="105" t="s">
        <v>387</v>
      </c>
      <c r="F197" s="85" t="s">
        <v>49</v>
      </c>
      <c r="G197" s="14"/>
    </row>
    <row r="198" spans="1:7" s="75" customFormat="1" ht="49.95" customHeight="1" x14ac:dyDescent="0.3">
      <c r="A198" s="66">
        <f t="shared" si="4"/>
        <v>797</v>
      </c>
      <c r="B198" s="59">
        <v>2018</v>
      </c>
      <c r="C198" s="59" t="s">
        <v>388</v>
      </c>
      <c r="D198" s="59" t="s">
        <v>389</v>
      </c>
      <c r="E198" s="26"/>
      <c r="F198" s="85" t="s">
        <v>145</v>
      </c>
      <c r="G198" s="14"/>
    </row>
    <row r="199" spans="1:7" s="75" customFormat="1" ht="49.95" customHeight="1" x14ac:dyDescent="0.3">
      <c r="A199" s="66">
        <f t="shared" si="4"/>
        <v>798</v>
      </c>
      <c r="B199" s="59">
        <v>2017</v>
      </c>
      <c r="C199" s="59" t="s">
        <v>390</v>
      </c>
      <c r="D199" s="59" t="s">
        <v>391</v>
      </c>
      <c r="E199" s="86" t="s">
        <v>392</v>
      </c>
      <c r="F199" s="85" t="s">
        <v>261</v>
      </c>
      <c r="G199" s="14"/>
    </row>
    <row r="200" spans="1:7" s="75" customFormat="1" ht="49.95" customHeight="1" x14ac:dyDescent="0.3">
      <c r="A200" s="66">
        <f t="shared" si="4"/>
        <v>799</v>
      </c>
      <c r="B200" s="59">
        <v>2018</v>
      </c>
      <c r="C200" s="59" t="s">
        <v>393</v>
      </c>
      <c r="D200" s="59" t="s">
        <v>394</v>
      </c>
      <c r="E200" s="10" t="s">
        <v>395</v>
      </c>
      <c r="F200" s="85" t="s">
        <v>49</v>
      </c>
      <c r="G200" s="14"/>
    </row>
    <row r="201" spans="1:7" s="75" customFormat="1" ht="49.95" customHeight="1" x14ac:dyDescent="0.3">
      <c r="A201" s="66">
        <f t="shared" si="4"/>
        <v>800</v>
      </c>
      <c r="B201" s="59">
        <v>2007</v>
      </c>
      <c r="C201" s="59" t="s">
        <v>189</v>
      </c>
      <c r="D201" s="59" t="s">
        <v>190</v>
      </c>
      <c r="E201" s="26"/>
      <c r="F201" s="85" t="s">
        <v>67</v>
      </c>
      <c r="G201" s="14"/>
    </row>
    <row r="202" spans="1:7" s="75" customFormat="1" ht="49.95" customHeight="1" x14ac:dyDescent="0.3">
      <c r="A202" s="66">
        <f t="shared" si="4"/>
        <v>801</v>
      </c>
      <c r="B202" s="59">
        <v>2016</v>
      </c>
      <c r="C202" s="59" t="s">
        <v>396</v>
      </c>
      <c r="D202" s="59" t="s">
        <v>397</v>
      </c>
      <c r="E202" s="26"/>
      <c r="F202" s="85" t="s">
        <v>145</v>
      </c>
      <c r="G202" s="14"/>
    </row>
    <row r="203" spans="1:7" s="75" customFormat="1" ht="49.95" customHeight="1" x14ac:dyDescent="0.3">
      <c r="A203" s="66">
        <f t="shared" si="4"/>
        <v>802</v>
      </c>
      <c r="B203" s="59">
        <v>2010</v>
      </c>
      <c r="C203" s="59" t="s">
        <v>398</v>
      </c>
      <c r="D203" s="59" t="s">
        <v>399</v>
      </c>
      <c r="E203" s="26"/>
      <c r="F203" s="85" t="s">
        <v>67</v>
      </c>
      <c r="G203" s="14"/>
    </row>
    <row r="204" spans="1:7" s="75" customFormat="1" ht="49.95" customHeight="1" x14ac:dyDescent="0.3">
      <c r="A204" s="66">
        <f t="shared" si="4"/>
        <v>803</v>
      </c>
      <c r="B204" s="59">
        <v>2008</v>
      </c>
      <c r="C204" s="59" t="s">
        <v>400</v>
      </c>
      <c r="D204" s="59" t="s">
        <v>401</v>
      </c>
      <c r="E204" s="26"/>
      <c r="F204" s="85" t="s">
        <v>67</v>
      </c>
      <c r="G204" s="14"/>
    </row>
    <row r="205" spans="1:7" s="75" customFormat="1" ht="49.95" customHeight="1" x14ac:dyDescent="0.3">
      <c r="A205" s="66">
        <f t="shared" si="4"/>
        <v>804</v>
      </c>
      <c r="B205" s="59">
        <v>2017</v>
      </c>
      <c r="C205" s="59" t="s">
        <v>402</v>
      </c>
      <c r="D205" s="59" t="s">
        <v>403</v>
      </c>
      <c r="E205" s="86" t="s">
        <v>404</v>
      </c>
      <c r="F205" s="85" t="s">
        <v>261</v>
      </c>
      <c r="G205" s="14"/>
    </row>
    <row r="206" spans="1:7" s="75" customFormat="1" ht="49.95" customHeight="1" x14ac:dyDescent="0.3">
      <c r="A206" s="66">
        <f t="shared" si="4"/>
        <v>805</v>
      </c>
      <c r="B206" s="59">
        <v>2018</v>
      </c>
      <c r="C206" s="59" t="s">
        <v>35</v>
      </c>
      <c r="D206" s="59" t="s">
        <v>405</v>
      </c>
      <c r="E206" s="86" t="s">
        <v>406</v>
      </c>
      <c r="F206" s="85" t="s">
        <v>261</v>
      </c>
      <c r="G206" s="14"/>
    </row>
    <row r="207" spans="1:7" s="75" customFormat="1" ht="49.95" customHeight="1" x14ac:dyDescent="0.3">
      <c r="A207" s="66">
        <f t="shared" si="4"/>
        <v>806</v>
      </c>
      <c r="B207" s="59">
        <v>2005</v>
      </c>
      <c r="C207" s="59" t="s">
        <v>407</v>
      </c>
      <c r="D207" s="59" t="s">
        <v>408</v>
      </c>
      <c r="E207" s="26"/>
      <c r="F207" s="85" t="s">
        <v>67</v>
      </c>
      <c r="G207" s="94"/>
    </row>
    <row r="208" spans="1:7" s="75" customFormat="1" ht="49.95" customHeight="1" x14ac:dyDescent="0.3">
      <c r="A208" s="66">
        <f t="shared" si="4"/>
        <v>807</v>
      </c>
      <c r="B208" s="59">
        <v>2017</v>
      </c>
      <c r="C208" s="59" t="s">
        <v>409</v>
      </c>
      <c r="D208" s="59" t="s">
        <v>410</v>
      </c>
      <c r="E208" s="92"/>
      <c r="F208" s="101"/>
      <c r="G208" s="68" t="s">
        <v>127</v>
      </c>
    </row>
    <row r="209" spans="1:7" s="75" customFormat="1" ht="49.95" customHeight="1" x14ac:dyDescent="0.3">
      <c r="A209" s="66">
        <f t="shared" si="4"/>
        <v>808</v>
      </c>
      <c r="B209" s="59">
        <v>2007</v>
      </c>
      <c r="C209" s="59" t="s">
        <v>411</v>
      </c>
      <c r="D209" s="59" t="s">
        <v>412</v>
      </c>
      <c r="E209" s="26"/>
      <c r="F209" s="85" t="s">
        <v>67</v>
      </c>
      <c r="G209" s="94"/>
    </row>
    <row r="210" spans="1:7" s="75" customFormat="1" ht="49.95" customHeight="1" x14ac:dyDescent="0.3">
      <c r="A210" s="66">
        <f t="shared" si="4"/>
        <v>809</v>
      </c>
      <c r="B210" s="59">
        <v>2017</v>
      </c>
      <c r="C210" s="59" t="s">
        <v>413</v>
      </c>
      <c r="D210" s="59" t="s">
        <v>240</v>
      </c>
      <c r="E210" s="26"/>
      <c r="F210" s="85" t="s">
        <v>184</v>
      </c>
      <c r="G210" s="94"/>
    </row>
    <row r="211" spans="1:7" s="75" customFormat="1" ht="49.95" customHeight="1" x14ac:dyDescent="0.3">
      <c r="A211" s="66">
        <f t="shared" si="4"/>
        <v>810</v>
      </c>
      <c r="B211" s="59">
        <v>2014</v>
      </c>
      <c r="C211" s="59" t="s">
        <v>65</v>
      </c>
      <c r="D211" s="59" t="s">
        <v>230</v>
      </c>
      <c r="E211" s="26"/>
      <c r="F211" s="85" t="s">
        <v>67</v>
      </c>
      <c r="G211" s="94"/>
    </row>
    <row r="212" spans="1:7" s="75" customFormat="1" ht="49.95" customHeight="1" x14ac:dyDescent="0.3">
      <c r="A212" s="66">
        <f t="shared" si="4"/>
        <v>811</v>
      </c>
      <c r="B212" s="59">
        <v>2024</v>
      </c>
      <c r="C212" s="59" t="s">
        <v>414</v>
      </c>
      <c r="D212" s="59" t="s">
        <v>415</v>
      </c>
      <c r="E212" s="26"/>
      <c r="F212" s="85" t="s">
        <v>145</v>
      </c>
      <c r="G212" s="94"/>
    </row>
    <row r="213" spans="1:7" s="75" customFormat="1" ht="49.95" customHeight="1" x14ac:dyDescent="0.3">
      <c r="A213" s="66">
        <f t="shared" si="4"/>
        <v>812</v>
      </c>
      <c r="B213" s="59">
        <v>2020</v>
      </c>
      <c r="C213" s="59" t="s">
        <v>416</v>
      </c>
      <c r="D213" s="59" t="s">
        <v>417</v>
      </c>
      <c r="E213" s="26"/>
      <c r="F213" s="85" t="s">
        <v>145</v>
      </c>
      <c r="G213" s="94"/>
    </row>
    <row r="214" spans="1:7" s="75" customFormat="1" ht="49.95" customHeight="1" x14ac:dyDescent="0.3">
      <c r="A214" s="66">
        <f t="shared" si="4"/>
        <v>813</v>
      </c>
      <c r="B214" s="59">
        <v>2020</v>
      </c>
      <c r="C214" s="59" t="s">
        <v>418</v>
      </c>
      <c r="D214" s="59" t="s">
        <v>419</v>
      </c>
      <c r="E214" s="92"/>
      <c r="F214" s="98"/>
      <c r="G214" s="68" t="s">
        <v>127</v>
      </c>
    </row>
    <row r="215" spans="1:7" s="75" customFormat="1" ht="49.95" customHeight="1" x14ac:dyDescent="0.3">
      <c r="A215" s="66">
        <f t="shared" si="4"/>
        <v>814</v>
      </c>
      <c r="B215" s="59">
        <v>2022</v>
      </c>
      <c r="C215" s="59" t="s">
        <v>420</v>
      </c>
      <c r="D215" s="59" t="s">
        <v>421</v>
      </c>
      <c r="E215" s="92"/>
      <c r="F215" s="98"/>
      <c r="G215" s="106"/>
    </row>
    <row r="216" spans="1:7" s="75" customFormat="1" ht="49.95" customHeight="1" x14ac:dyDescent="0.3">
      <c r="A216" s="66">
        <f t="shared" si="4"/>
        <v>815</v>
      </c>
      <c r="B216" s="59">
        <v>2022</v>
      </c>
      <c r="C216" s="59" t="s">
        <v>422</v>
      </c>
      <c r="D216" s="59" t="s">
        <v>423</v>
      </c>
      <c r="E216" s="107"/>
      <c r="F216" s="101"/>
      <c r="G216" s="68" t="s">
        <v>70</v>
      </c>
    </row>
    <row r="217" spans="1:7" s="75" customFormat="1" ht="49.95" customHeight="1" x14ac:dyDescent="0.3">
      <c r="A217" s="66">
        <f t="shared" si="4"/>
        <v>816</v>
      </c>
      <c r="B217" s="59">
        <v>2021</v>
      </c>
      <c r="C217" s="59" t="s">
        <v>30</v>
      </c>
      <c r="D217" s="59" t="s">
        <v>31</v>
      </c>
      <c r="E217" s="26"/>
      <c r="F217" s="85" t="s">
        <v>184</v>
      </c>
      <c r="G217" s="94"/>
    </row>
    <row r="218" spans="1:7" s="75" customFormat="1" ht="49.95" customHeight="1" x14ac:dyDescent="0.3">
      <c r="A218" s="66">
        <f t="shared" si="4"/>
        <v>817</v>
      </c>
      <c r="B218" s="59">
        <v>2023</v>
      </c>
      <c r="C218" s="59" t="s">
        <v>424</v>
      </c>
      <c r="D218" s="59" t="s">
        <v>425</v>
      </c>
      <c r="E218" s="26"/>
      <c r="F218" s="85" t="s">
        <v>184</v>
      </c>
      <c r="G218" s="94"/>
    </row>
    <row r="219" spans="1:7" s="75" customFormat="1" ht="49.95" customHeight="1" x14ac:dyDescent="0.3">
      <c r="A219" s="66">
        <f t="shared" si="4"/>
        <v>818</v>
      </c>
      <c r="B219" s="59">
        <v>2023</v>
      </c>
      <c r="C219" s="59" t="s">
        <v>426</v>
      </c>
      <c r="D219" s="59" t="s">
        <v>311</v>
      </c>
      <c r="E219" s="26"/>
      <c r="F219" s="85" t="s">
        <v>184</v>
      </c>
      <c r="G219" s="94"/>
    </row>
    <row r="220" spans="1:7" s="75" customFormat="1" ht="49.95" customHeight="1" x14ac:dyDescent="0.3">
      <c r="A220" s="66">
        <f t="shared" si="4"/>
        <v>819</v>
      </c>
      <c r="B220" s="59">
        <v>2025</v>
      </c>
      <c r="C220" s="59" t="s">
        <v>427</v>
      </c>
      <c r="D220" s="59" t="s">
        <v>313</v>
      </c>
      <c r="E220" s="26"/>
      <c r="F220" s="85" t="s">
        <v>184</v>
      </c>
      <c r="G220" s="94"/>
    </row>
    <row r="221" spans="1:7" s="75" customFormat="1" ht="49.95" customHeight="1" x14ac:dyDescent="0.3">
      <c r="A221" s="66">
        <f t="shared" si="4"/>
        <v>820</v>
      </c>
      <c r="B221" s="59">
        <v>2023</v>
      </c>
      <c r="C221" s="59" t="s">
        <v>314</v>
      </c>
      <c r="D221" s="59" t="s">
        <v>315</v>
      </c>
      <c r="E221" s="26"/>
      <c r="F221" s="85" t="s">
        <v>184</v>
      </c>
      <c r="G221" s="94"/>
    </row>
    <row r="222" spans="1:7" s="75" customFormat="1" ht="49.95" customHeight="1" x14ac:dyDescent="0.3">
      <c r="A222" s="66">
        <f t="shared" si="4"/>
        <v>821</v>
      </c>
      <c r="B222" s="59">
        <v>2023</v>
      </c>
      <c r="C222" s="59" t="s">
        <v>428</v>
      </c>
      <c r="D222" s="59" t="s">
        <v>429</v>
      </c>
      <c r="E222" s="92"/>
      <c r="F222" s="101"/>
      <c r="G222" s="68" t="s">
        <v>127</v>
      </c>
    </row>
    <row r="223" spans="1:7" s="75" customFormat="1" ht="49.95" customHeight="1" x14ac:dyDescent="0.3">
      <c r="A223" s="66">
        <f t="shared" si="4"/>
        <v>822</v>
      </c>
      <c r="B223" s="59">
        <v>2020</v>
      </c>
      <c r="C223" s="59" t="s">
        <v>430</v>
      </c>
      <c r="D223" s="59" t="s">
        <v>431</v>
      </c>
      <c r="E223" s="26"/>
      <c r="F223" s="85" t="s">
        <v>184</v>
      </c>
      <c r="G223" s="94"/>
    </row>
    <row r="224" spans="1:7" s="75" customFormat="1" ht="49.95" customHeight="1" x14ac:dyDescent="0.3">
      <c r="A224" s="66">
        <f t="shared" si="4"/>
        <v>823</v>
      </c>
      <c r="B224" s="59">
        <v>2024</v>
      </c>
      <c r="C224" s="59" t="s">
        <v>316</v>
      </c>
      <c r="D224" s="59" t="s">
        <v>432</v>
      </c>
      <c r="E224" s="26"/>
      <c r="F224" s="85" t="s">
        <v>145</v>
      </c>
      <c r="G224" s="94"/>
    </row>
    <row r="225" spans="1:7" s="75" customFormat="1" ht="49.95" customHeight="1" x14ac:dyDescent="0.3">
      <c r="A225" s="66">
        <f t="shared" si="4"/>
        <v>824</v>
      </c>
      <c r="B225" s="59">
        <v>2019</v>
      </c>
      <c r="C225" s="59" t="s">
        <v>433</v>
      </c>
      <c r="D225" s="59" t="s">
        <v>434</v>
      </c>
      <c r="E225" s="92"/>
      <c r="F225" s="98"/>
      <c r="G225" s="68" t="s">
        <v>120</v>
      </c>
    </row>
    <row r="226" spans="1:7" s="75" customFormat="1" ht="49.95" customHeight="1" x14ac:dyDescent="0.3">
      <c r="A226" s="66">
        <f t="shared" si="4"/>
        <v>825</v>
      </c>
      <c r="B226" s="59">
        <v>2024</v>
      </c>
      <c r="C226" s="59" t="s">
        <v>435</v>
      </c>
      <c r="D226" s="59" t="s">
        <v>436</v>
      </c>
      <c r="E226" s="92"/>
      <c r="F226" s="98"/>
      <c r="G226" s="68" t="s">
        <v>127</v>
      </c>
    </row>
    <row r="227" spans="1:7" s="75" customFormat="1" ht="49.95" customHeight="1" x14ac:dyDescent="0.3">
      <c r="A227" s="66">
        <f t="shared" si="4"/>
        <v>826</v>
      </c>
      <c r="B227" s="59">
        <v>2025</v>
      </c>
      <c r="C227" s="59" t="s">
        <v>437</v>
      </c>
      <c r="D227" s="59" t="s">
        <v>438</v>
      </c>
      <c r="E227" s="92"/>
      <c r="F227" s="98"/>
      <c r="G227" s="68" t="s">
        <v>120</v>
      </c>
    </row>
    <row r="228" spans="1:7" s="75" customFormat="1" ht="49.95" customHeight="1" x14ac:dyDescent="0.3">
      <c r="A228" s="66">
        <f t="shared" si="4"/>
        <v>827</v>
      </c>
      <c r="B228" s="59">
        <v>2020</v>
      </c>
      <c r="C228" s="59" t="s">
        <v>439</v>
      </c>
      <c r="D228" s="59" t="s">
        <v>440</v>
      </c>
      <c r="E228" s="92"/>
      <c r="F228" s="98"/>
      <c r="G228" s="68" t="s">
        <v>120</v>
      </c>
    </row>
    <row r="229" spans="1:7" s="75" customFormat="1" ht="49.95" customHeight="1" x14ac:dyDescent="0.3">
      <c r="A229" s="66">
        <f t="shared" si="4"/>
        <v>828</v>
      </c>
      <c r="B229" s="59">
        <v>2022</v>
      </c>
      <c r="C229" s="59" t="s">
        <v>441</v>
      </c>
      <c r="D229" s="59" t="s">
        <v>442</v>
      </c>
      <c r="E229" s="26"/>
      <c r="F229" s="85" t="s">
        <v>184</v>
      </c>
      <c r="G229" s="94"/>
    </row>
    <row r="230" spans="1:7" s="75" customFormat="1" ht="49.95" customHeight="1" x14ac:dyDescent="0.3">
      <c r="A230" s="66">
        <f t="shared" si="4"/>
        <v>829</v>
      </c>
      <c r="B230" s="59">
        <v>2024</v>
      </c>
      <c r="C230" s="59" t="s">
        <v>443</v>
      </c>
      <c r="D230" s="59" t="s">
        <v>319</v>
      </c>
      <c r="E230" s="26"/>
      <c r="F230" s="85" t="s">
        <v>184</v>
      </c>
      <c r="G230" s="94"/>
    </row>
    <row r="231" spans="1:7" s="75" customFormat="1" ht="49.95" customHeight="1" x14ac:dyDescent="0.3">
      <c r="A231" s="66">
        <f t="shared" si="4"/>
        <v>830</v>
      </c>
      <c r="B231" s="59">
        <v>2023</v>
      </c>
      <c r="C231" s="59" t="s">
        <v>444</v>
      </c>
      <c r="D231" s="59" t="s">
        <v>445</v>
      </c>
      <c r="E231" s="92"/>
      <c r="F231" s="98"/>
      <c r="G231" s="68" t="s">
        <v>331</v>
      </c>
    </row>
    <row r="232" spans="1:7" s="75" customFormat="1" ht="49.95" customHeight="1" x14ac:dyDescent="0.3">
      <c r="A232" s="66">
        <f t="shared" si="4"/>
        <v>831</v>
      </c>
      <c r="B232" s="59">
        <v>2021</v>
      </c>
      <c r="C232" s="59" t="s">
        <v>446</v>
      </c>
      <c r="D232" s="59" t="s">
        <v>447</v>
      </c>
      <c r="E232" s="26"/>
      <c r="F232" s="85" t="s">
        <v>184</v>
      </c>
      <c r="G232" s="94"/>
    </row>
    <row r="233" spans="1:7" s="75" customFormat="1" ht="49.95" customHeight="1" x14ac:dyDescent="0.3">
      <c r="A233" s="66">
        <f t="shared" si="4"/>
        <v>832</v>
      </c>
      <c r="B233" s="59">
        <v>2025</v>
      </c>
      <c r="C233" s="59" t="s">
        <v>320</v>
      </c>
      <c r="D233" s="59" t="s">
        <v>7</v>
      </c>
      <c r="E233" s="26"/>
      <c r="F233" s="85" t="s">
        <v>184</v>
      </c>
      <c r="G233" s="94"/>
    </row>
    <row r="234" spans="1:7" s="75" customFormat="1" ht="49.95" customHeight="1" x14ac:dyDescent="0.3">
      <c r="A234" s="66">
        <f t="shared" ref="A234:A272" si="5">SUM(A233,1)</f>
        <v>833</v>
      </c>
      <c r="B234" s="59">
        <v>2025</v>
      </c>
      <c r="C234" s="59" t="s">
        <v>448</v>
      </c>
      <c r="D234" s="59" t="s">
        <v>449</v>
      </c>
      <c r="E234" s="92"/>
      <c r="F234" s="98"/>
      <c r="G234" s="68" t="s">
        <v>70</v>
      </c>
    </row>
    <row r="235" spans="1:7" s="75" customFormat="1" ht="49.95" customHeight="1" x14ac:dyDescent="0.3">
      <c r="A235" s="66">
        <f t="shared" si="5"/>
        <v>834</v>
      </c>
      <c r="B235" s="59">
        <v>2025</v>
      </c>
      <c r="C235" s="59" t="s">
        <v>450</v>
      </c>
      <c r="D235" s="59" t="s">
        <v>451</v>
      </c>
      <c r="E235" s="92"/>
      <c r="F235" s="85" t="s">
        <v>1709</v>
      </c>
      <c r="G235" s="94"/>
    </row>
    <row r="236" spans="1:7" s="75" customFormat="1" ht="49.95" customHeight="1" x14ac:dyDescent="0.3">
      <c r="A236" s="66">
        <f t="shared" si="5"/>
        <v>835</v>
      </c>
      <c r="B236" s="59">
        <v>2024</v>
      </c>
      <c r="C236" s="59" t="s">
        <v>452</v>
      </c>
      <c r="D236" s="59" t="s">
        <v>453</v>
      </c>
      <c r="E236" s="86" t="s">
        <v>454</v>
      </c>
      <c r="F236" s="85" t="s">
        <v>1710</v>
      </c>
      <c r="G236" s="94"/>
    </row>
    <row r="237" spans="1:7" s="75" customFormat="1" ht="49.95" customHeight="1" x14ac:dyDescent="0.3">
      <c r="A237" s="66">
        <f t="shared" si="5"/>
        <v>836</v>
      </c>
      <c r="B237" s="59">
        <v>2023</v>
      </c>
      <c r="C237" s="59" t="s">
        <v>455</v>
      </c>
      <c r="D237" s="59" t="s">
        <v>456</v>
      </c>
      <c r="E237" s="86" t="s">
        <v>457</v>
      </c>
      <c r="F237" s="108" t="s">
        <v>1711</v>
      </c>
      <c r="G237" s="94"/>
    </row>
    <row r="238" spans="1:7" s="75" customFormat="1" ht="49.95" customHeight="1" x14ac:dyDescent="0.3">
      <c r="A238" s="66">
        <f t="shared" si="5"/>
        <v>837</v>
      </c>
      <c r="B238" s="59">
        <v>2025</v>
      </c>
      <c r="C238" s="59" t="s">
        <v>458</v>
      </c>
      <c r="D238" s="59" t="s">
        <v>459</v>
      </c>
      <c r="E238" s="92"/>
      <c r="F238" s="85" t="s">
        <v>49</v>
      </c>
      <c r="G238" s="94"/>
    </row>
    <row r="239" spans="1:7" s="75" customFormat="1" ht="49.95" customHeight="1" x14ac:dyDescent="0.3">
      <c r="A239" s="66">
        <f t="shared" si="5"/>
        <v>838</v>
      </c>
      <c r="B239" s="59">
        <v>2020</v>
      </c>
      <c r="C239" s="59" t="s">
        <v>460</v>
      </c>
      <c r="D239" s="59" t="s">
        <v>461</v>
      </c>
      <c r="E239" s="86" t="s">
        <v>462</v>
      </c>
      <c r="F239" s="85" t="s">
        <v>463</v>
      </c>
      <c r="G239" s="94"/>
    </row>
    <row r="240" spans="1:7" s="75" customFormat="1" ht="49.95" customHeight="1" x14ac:dyDescent="0.3">
      <c r="A240" s="66">
        <f t="shared" si="5"/>
        <v>839</v>
      </c>
      <c r="B240" s="59">
        <v>2020</v>
      </c>
      <c r="C240" s="59" t="s">
        <v>464</v>
      </c>
      <c r="D240" s="59" t="s">
        <v>465</v>
      </c>
      <c r="E240" s="86" t="s">
        <v>466</v>
      </c>
      <c r="F240" s="85" t="s">
        <v>467</v>
      </c>
      <c r="G240" s="94"/>
    </row>
    <row r="241" spans="1:7" s="75" customFormat="1" ht="49.95" customHeight="1" x14ac:dyDescent="0.3">
      <c r="A241" s="66">
        <f t="shared" si="5"/>
        <v>840</v>
      </c>
      <c r="B241" s="59">
        <v>2022</v>
      </c>
      <c r="C241" s="59" t="s">
        <v>468</v>
      </c>
      <c r="D241" s="59" t="s">
        <v>469</v>
      </c>
      <c r="E241" s="92"/>
      <c r="F241" s="85" t="s">
        <v>1712</v>
      </c>
      <c r="G241" s="94"/>
    </row>
    <row r="242" spans="1:7" s="75" customFormat="1" ht="49.95" customHeight="1" x14ac:dyDescent="0.3">
      <c r="A242" s="66">
        <f t="shared" si="5"/>
        <v>841</v>
      </c>
      <c r="B242" s="59">
        <v>2024</v>
      </c>
      <c r="C242" s="59" t="s">
        <v>470</v>
      </c>
      <c r="D242" s="59" t="s">
        <v>471</v>
      </c>
      <c r="E242" s="86" t="s">
        <v>472</v>
      </c>
      <c r="F242" s="109" t="s">
        <v>473</v>
      </c>
      <c r="G242" s="94"/>
    </row>
    <row r="243" spans="1:7" s="75" customFormat="1" ht="49.95" customHeight="1" x14ac:dyDescent="0.25">
      <c r="A243" s="66">
        <f t="shared" si="5"/>
        <v>842</v>
      </c>
      <c r="B243" s="59">
        <v>2021</v>
      </c>
      <c r="C243" s="59" t="s">
        <v>460</v>
      </c>
      <c r="D243" s="59" t="s">
        <v>474</v>
      </c>
      <c r="E243" s="110" t="s">
        <v>475</v>
      </c>
      <c r="F243" s="85" t="s">
        <v>463</v>
      </c>
      <c r="G243" s="94"/>
    </row>
    <row r="244" spans="1:7" s="75" customFormat="1" ht="49.95" customHeight="1" x14ac:dyDescent="0.3">
      <c r="A244" s="66">
        <f t="shared" si="5"/>
        <v>843</v>
      </c>
      <c r="B244" s="59">
        <v>2022</v>
      </c>
      <c r="C244" s="59" t="s">
        <v>103</v>
      </c>
      <c r="D244" s="59" t="s">
        <v>105</v>
      </c>
      <c r="E244" s="26"/>
      <c r="F244" s="85" t="s">
        <v>184</v>
      </c>
      <c r="G244" s="94"/>
    </row>
    <row r="245" spans="1:7" s="75" customFormat="1" ht="49.95" customHeight="1" x14ac:dyDescent="0.3">
      <c r="A245" s="66">
        <f t="shared" si="5"/>
        <v>844</v>
      </c>
      <c r="B245" s="59">
        <v>2022</v>
      </c>
      <c r="C245" s="59" t="s">
        <v>476</v>
      </c>
      <c r="D245" s="59" t="s">
        <v>477</v>
      </c>
      <c r="E245" s="86" t="s">
        <v>478</v>
      </c>
      <c r="F245" s="85" t="s">
        <v>467</v>
      </c>
      <c r="G245" s="94"/>
    </row>
    <row r="246" spans="1:7" s="75" customFormat="1" ht="49.95" customHeight="1" x14ac:dyDescent="0.3">
      <c r="A246" s="66">
        <f t="shared" si="5"/>
        <v>845</v>
      </c>
      <c r="B246" s="59">
        <v>2021</v>
      </c>
      <c r="C246" s="59" t="s">
        <v>479</v>
      </c>
      <c r="D246" s="59" t="s">
        <v>480</v>
      </c>
      <c r="E246" s="86" t="s">
        <v>481</v>
      </c>
      <c r="F246" s="25" t="s">
        <v>1713</v>
      </c>
      <c r="G246" s="94"/>
    </row>
    <row r="247" spans="1:7" s="75" customFormat="1" ht="49.95" customHeight="1" x14ac:dyDescent="0.3">
      <c r="A247" s="66">
        <f t="shared" si="5"/>
        <v>846</v>
      </c>
      <c r="B247" s="59">
        <v>2024</v>
      </c>
      <c r="C247" s="59" t="s">
        <v>482</v>
      </c>
      <c r="D247" s="59" t="s">
        <v>483</v>
      </c>
      <c r="E247" s="92"/>
      <c r="F247" s="98"/>
      <c r="G247" s="68" t="s">
        <v>127</v>
      </c>
    </row>
    <row r="248" spans="1:7" s="75" customFormat="1" ht="49.95" customHeight="1" x14ac:dyDescent="0.3">
      <c r="A248" s="66">
        <f t="shared" si="5"/>
        <v>847</v>
      </c>
      <c r="B248" s="59">
        <v>2025</v>
      </c>
      <c r="C248" s="59" t="s">
        <v>325</v>
      </c>
      <c r="D248" s="59" t="s">
        <v>484</v>
      </c>
      <c r="E248" s="92"/>
      <c r="F248" s="98"/>
      <c r="G248" s="106"/>
    </row>
    <row r="249" spans="1:7" s="75" customFormat="1" ht="49.95" customHeight="1" x14ac:dyDescent="0.3">
      <c r="A249" s="66">
        <f t="shared" si="5"/>
        <v>848</v>
      </c>
      <c r="B249" s="59">
        <v>2024</v>
      </c>
      <c r="C249" s="59" t="s">
        <v>485</v>
      </c>
      <c r="D249" s="59" t="s">
        <v>486</v>
      </c>
      <c r="E249" s="92"/>
      <c r="F249" s="98"/>
      <c r="G249" s="68" t="s">
        <v>127</v>
      </c>
    </row>
    <row r="250" spans="1:7" s="75" customFormat="1" ht="49.95" customHeight="1" x14ac:dyDescent="0.3">
      <c r="A250" s="66">
        <f t="shared" si="5"/>
        <v>849</v>
      </c>
      <c r="B250" s="59">
        <v>2023</v>
      </c>
      <c r="C250" s="59" t="s">
        <v>487</v>
      </c>
      <c r="D250" s="59" t="s">
        <v>488</v>
      </c>
      <c r="E250" s="92"/>
      <c r="F250" s="98"/>
      <c r="G250" s="68" t="s">
        <v>331</v>
      </c>
    </row>
    <row r="251" spans="1:7" s="75" customFormat="1" ht="49.95" customHeight="1" x14ac:dyDescent="0.3">
      <c r="A251" s="66">
        <f t="shared" si="5"/>
        <v>850</v>
      </c>
      <c r="B251" s="59">
        <v>2020</v>
      </c>
      <c r="C251" s="59" t="s">
        <v>489</v>
      </c>
      <c r="D251" s="59" t="s">
        <v>490</v>
      </c>
      <c r="E251" s="92"/>
      <c r="F251" s="98"/>
      <c r="G251" s="68" t="s">
        <v>331</v>
      </c>
    </row>
    <row r="252" spans="1:7" s="75" customFormat="1" ht="49.95" customHeight="1" x14ac:dyDescent="0.3">
      <c r="A252" s="66">
        <f t="shared" si="5"/>
        <v>851</v>
      </c>
      <c r="B252" s="59">
        <v>2024</v>
      </c>
      <c r="C252" s="59" t="s">
        <v>491</v>
      </c>
      <c r="D252" s="59" t="s">
        <v>492</v>
      </c>
      <c r="E252" s="92"/>
      <c r="F252" s="98"/>
      <c r="G252" s="68" t="s">
        <v>70</v>
      </c>
    </row>
    <row r="253" spans="1:7" s="75" customFormat="1" ht="49.95" customHeight="1" x14ac:dyDescent="0.3">
      <c r="A253" s="66">
        <f t="shared" si="5"/>
        <v>852</v>
      </c>
      <c r="B253" s="59">
        <v>2022</v>
      </c>
      <c r="C253" s="59" t="s">
        <v>493</v>
      </c>
      <c r="D253" s="59" t="s">
        <v>494</v>
      </c>
      <c r="E253" s="26"/>
      <c r="F253" s="85" t="s">
        <v>184</v>
      </c>
      <c r="G253" s="94"/>
    </row>
    <row r="254" spans="1:7" s="75" customFormat="1" ht="49.95" customHeight="1" x14ac:dyDescent="0.3">
      <c r="A254" s="66">
        <f t="shared" si="5"/>
        <v>853</v>
      </c>
      <c r="B254" s="59">
        <v>2025</v>
      </c>
      <c r="C254" s="59" t="s">
        <v>495</v>
      </c>
      <c r="D254" s="59" t="s">
        <v>496</v>
      </c>
      <c r="E254" s="26"/>
      <c r="F254" s="85" t="s">
        <v>184</v>
      </c>
      <c r="G254" s="94"/>
    </row>
    <row r="255" spans="1:7" s="75" customFormat="1" ht="49.95" customHeight="1" x14ac:dyDescent="0.3">
      <c r="A255" s="66">
        <f t="shared" si="5"/>
        <v>854</v>
      </c>
      <c r="B255" s="59">
        <v>2025</v>
      </c>
      <c r="C255" s="59" t="s">
        <v>497</v>
      </c>
      <c r="D255" s="59" t="s">
        <v>498</v>
      </c>
      <c r="E255" s="26"/>
      <c r="F255" s="85" t="s">
        <v>184</v>
      </c>
      <c r="G255" s="94"/>
    </row>
    <row r="256" spans="1:7" s="75" customFormat="1" ht="49.95" customHeight="1" x14ac:dyDescent="0.3">
      <c r="A256" s="66">
        <f t="shared" si="5"/>
        <v>855</v>
      </c>
      <c r="B256" s="59">
        <v>2025</v>
      </c>
      <c r="C256" s="59" t="s">
        <v>499</v>
      </c>
      <c r="D256" s="59" t="s">
        <v>500</v>
      </c>
      <c r="E256" s="92"/>
      <c r="F256" s="98"/>
      <c r="G256" s="68" t="s">
        <v>127</v>
      </c>
    </row>
    <row r="257" spans="1:7" s="75" customFormat="1" ht="49.95" customHeight="1" x14ac:dyDescent="0.3">
      <c r="A257" s="66">
        <f t="shared" si="5"/>
        <v>856</v>
      </c>
      <c r="B257" s="59">
        <v>2021</v>
      </c>
      <c r="C257" s="59" t="s">
        <v>501</v>
      </c>
      <c r="D257" s="59" t="s">
        <v>502</v>
      </c>
      <c r="E257" s="26"/>
      <c r="F257" s="85" t="s">
        <v>184</v>
      </c>
      <c r="G257" s="94"/>
    </row>
    <row r="258" spans="1:7" s="75" customFormat="1" ht="49.95" customHeight="1" x14ac:dyDescent="0.3">
      <c r="A258" s="66">
        <f t="shared" si="5"/>
        <v>857</v>
      </c>
      <c r="B258" s="59">
        <v>2023</v>
      </c>
      <c r="C258" s="59" t="s">
        <v>503</v>
      </c>
      <c r="D258" s="59" t="s">
        <v>504</v>
      </c>
      <c r="E258" s="92"/>
      <c r="F258" s="98"/>
      <c r="G258" s="68" t="s">
        <v>70</v>
      </c>
    </row>
    <row r="259" spans="1:7" s="75" customFormat="1" ht="49.95" customHeight="1" x14ac:dyDescent="0.3">
      <c r="A259" s="66">
        <f t="shared" si="5"/>
        <v>858</v>
      </c>
      <c r="B259" s="59">
        <v>2023</v>
      </c>
      <c r="C259" s="59" t="s">
        <v>505</v>
      </c>
      <c r="D259" s="59" t="s">
        <v>506</v>
      </c>
      <c r="E259" s="92"/>
      <c r="F259" s="98"/>
      <c r="G259" s="68" t="s">
        <v>127</v>
      </c>
    </row>
    <row r="260" spans="1:7" s="75" customFormat="1" ht="49.95" customHeight="1" x14ac:dyDescent="0.3">
      <c r="A260" s="66">
        <f t="shared" si="5"/>
        <v>859</v>
      </c>
      <c r="B260" s="59">
        <v>2023</v>
      </c>
      <c r="C260" s="59" t="s">
        <v>507</v>
      </c>
      <c r="D260" s="59" t="s">
        <v>508</v>
      </c>
      <c r="E260" s="26"/>
      <c r="F260" s="85" t="s">
        <v>145</v>
      </c>
      <c r="G260" s="94"/>
    </row>
    <row r="261" spans="1:7" s="75" customFormat="1" ht="49.95" customHeight="1" x14ac:dyDescent="0.3">
      <c r="A261" s="66">
        <f t="shared" si="5"/>
        <v>860</v>
      </c>
      <c r="B261" s="59">
        <v>2020</v>
      </c>
      <c r="C261" s="59" t="s">
        <v>509</v>
      </c>
      <c r="D261" s="59" t="s">
        <v>115</v>
      </c>
      <c r="E261" s="26"/>
      <c r="F261" s="85" t="s">
        <v>184</v>
      </c>
      <c r="G261" s="94"/>
    </row>
    <row r="262" spans="1:7" s="75" customFormat="1" ht="49.95" customHeight="1" x14ac:dyDescent="0.3">
      <c r="A262" s="66">
        <f t="shared" si="5"/>
        <v>861</v>
      </c>
      <c r="B262" s="59">
        <v>2023</v>
      </c>
      <c r="C262" s="59" t="s">
        <v>510</v>
      </c>
      <c r="D262" s="59" t="s">
        <v>511</v>
      </c>
      <c r="E262" s="92"/>
      <c r="F262" s="98"/>
      <c r="G262" s="68" t="s">
        <v>127</v>
      </c>
    </row>
    <row r="263" spans="1:7" s="75" customFormat="1" ht="49.95" customHeight="1" x14ac:dyDescent="0.3">
      <c r="A263" s="66">
        <f t="shared" si="5"/>
        <v>862</v>
      </c>
      <c r="B263" s="59">
        <v>2022</v>
      </c>
      <c r="C263" s="59" t="s">
        <v>512</v>
      </c>
      <c r="D263" s="59" t="s">
        <v>513</v>
      </c>
      <c r="E263" s="92"/>
      <c r="F263" s="85" t="s">
        <v>514</v>
      </c>
      <c r="G263" s="94"/>
    </row>
    <row r="264" spans="1:7" s="75" customFormat="1" ht="49.95" customHeight="1" x14ac:dyDescent="0.3">
      <c r="A264" s="66">
        <f t="shared" si="5"/>
        <v>863</v>
      </c>
      <c r="B264" s="59">
        <v>2022</v>
      </c>
      <c r="C264" s="59" t="s">
        <v>515</v>
      </c>
      <c r="D264" s="59" t="s">
        <v>516</v>
      </c>
      <c r="E264" s="92"/>
      <c r="F264" s="85" t="s">
        <v>517</v>
      </c>
      <c r="G264" s="94"/>
    </row>
    <row r="265" spans="1:7" s="75" customFormat="1" ht="49.95" customHeight="1" x14ac:dyDescent="0.3">
      <c r="A265" s="66">
        <f t="shared" si="5"/>
        <v>864</v>
      </c>
      <c r="B265" s="59">
        <v>2021</v>
      </c>
      <c r="C265" s="59" t="s">
        <v>518</v>
      </c>
      <c r="D265" s="59" t="s">
        <v>519</v>
      </c>
      <c r="E265" s="86" t="s">
        <v>520</v>
      </c>
      <c r="F265" s="85" t="s">
        <v>145</v>
      </c>
      <c r="G265" s="94"/>
    </row>
    <row r="266" spans="1:7" s="75" customFormat="1" ht="49.95" customHeight="1" x14ac:dyDescent="0.3">
      <c r="A266" s="66">
        <f t="shared" si="5"/>
        <v>865</v>
      </c>
      <c r="B266" s="59">
        <v>2021</v>
      </c>
      <c r="C266" s="59" t="s">
        <v>521</v>
      </c>
      <c r="D266" s="59" t="s">
        <v>522</v>
      </c>
      <c r="E266" s="92"/>
      <c r="F266" s="85" t="s">
        <v>1714</v>
      </c>
      <c r="G266" s="94"/>
    </row>
    <row r="267" spans="1:7" s="75" customFormat="1" ht="49.95" customHeight="1" x14ac:dyDescent="0.3">
      <c r="A267" s="66">
        <f t="shared" si="5"/>
        <v>866</v>
      </c>
      <c r="B267" s="59">
        <v>2024</v>
      </c>
      <c r="C267" s="59" t="s">
        <v>523</v>
      </c>
      <c r="D267" s="59" t="s">
        <v>524</v>
      </c>
      <c r="E267" s="86" t="s">
        <v>525</v>
      </c>
      <c r="F267" s="85" t="s">
        <v>467</v>
      </c>
      <c r="G267" s="94"/>
    </row>
    <row r="268" spans="1:7" s="75" customFormat="1" ht="49.95" customHeight="1" x14ac:dyDescent="0.3">
      <c r="A268" s="66">
        <f t="shared" si="5"/>
        <v>867</v>
      </c>
      <c r="B268" s="59">
        <v>2019</v>
      </c>
      <c r="C268" s="59" t="s">
        <v>526</v>
      </c>
      <c r="D268" s="59" t="s">
        <v>527</v>
      </c>
      <c r="E268" s="26"/>
      <c r="F268" s="85" t="s">
        <v>184</v>
      </c>
      <c r="G268" s="94"/>
    </row>
    <row r="269" spans="1:7" s="75" customFormat="1" ht="49.95" customHeight="1" x14ac:dyDescent="0.3">
      <c r="A269" s="66">
        <f t="shared" si="5"/>
        <v>868</v>
      </c>
      <c r="B269" s="59">
        <v>2019</v>
      </c>
      <c r="C269" s="59" t="s">
        <v>528</v>
      </c>
      <c r="D269" s="59" t="s">
        <v>529</v>
      </c>
      <c r="E269" s="26"/>
      <c r="F269" s="85" t="s">
        <v>184</v>
      </c>
      <c r="G269" s="94"/>
    </row>
    <row r="270" spans="1:7" s="75" customFormat="1" ht="49.95" customHeight="1" x14ac:dyDescent="0.3">
      <c r="A270" s="66">
        <f t="shared" si="5"/>
        <v>869</v>
      </c>
      <c r="B270" s="59">
        <v>2019</v>
      </c>
      <c r="C270" s="59" t="s">
        <v>530</v>
      </c>
      <c r="D270" s="59" t="s">
        <v>531</v>
      </c>
      <c r="E270" s="92"/>
      <c r="F270" s="85" t="s">
        <v>1715</v>
      </c>
      <c r="G270" s="94"/>
    </row>
    <row r="271" spans="1:7" s="75" customFormat="1" ht="49.95" customHeight="1" x14ac:dyDescent="0.3">
      <c r="A271" s="66">
        <f t="shared" si="5"/>
        <v>870</v>
      </c>
      <c r="B271" s="59">
        <v>2019</v>
      </c>
      <c r="C271" s="59" t="s">
        <v>532</v>
      </c>
      <c r="D271" s="59" t="s">
        <v>533</v>
      </c>
      <c r="E271" s="92"/>
      <c r="F271" s="85" t="s">
        <v>1716</v>
      </c>
      <c r="G271" s="94"/>
    </row>
    <row r="272" spans="1:7" s="75" customFormat="1" ht="49.95" customHeight="1" x14ac:dyDescent="0.3">
      <c r="A272" s="66">
        <f t="shared" si="5"/>
        <v>871</v>
      </c>
      <c r="B272" s="59">
        <v>2024</v>
      </c>
      <c r="C272" s="59" t="s">
        <v>534</v>
      </c>
      <c r="D272" s="59" t="s">
        <v>535</v>
      </c>
      <c r="E272" s="92"/>
      <c r="F272" s="85" t="s">
        <v>517</v>
      </c>
      <c r="G272" s="94"/>
    </row>
    <row r="273" spans="1:43" ht="23.4" x14ac:dyDescent="0.45">
      <c r="A273" s="44" t="s">
        <v>0</v>
      </c>
      <c r="B273" s="44" t="s">
        <v>1</v>
      </c>
      <c r="C273" s="44" t="s">
        <v>2</v>
      </c>
      <c r="D273" s="45" t="s">
        <v>3</v>
      </c>
      <c r="E273" s="45" t="s">
        <v>4</v>
      </c>
      <c r="F273" s="46" t="s">
        <v>5</v>
      </c>
      <c r="G273" s="47"/>
      <c r="H273" s="185"/>
      <c r="I273" s="75"/>
      <c r="J273" s="75"/>
      <c r="K273" s="75"/>
      <c r="L273" s="75"/>
      <c r="M273" s="75"/>
      <c r="N273" s="75"/>
      <c r="O273" s="75"/>
      <c r="P273" s="75"/>
      <c r="Q273" s="75"/>
      <c r="R273" s="75"/>
      <c r="S273" s="75"/>
      <c r="T273" s="75"/>
      <c r="U273" s="75"/>
      <c r="V273" s="75"/>
      <c r="W273" s="75"/>
      <c r="X273" s="75"/>
      <c r="Y273" s="75"/>
      <c r="Z273" s="75"/>
      <c r="AA273" s="75"/>
      <c r="AB273" s="75"/>
      <c r="AC273" s="75"/>
      <c r="AD273" s="75"/>
      <c r="AE273" s="75"/>
    </row>
    <row r="274" spans="1:43" ht="70.2" x14ac:dyDescent="0.45">
      <c r="A274" s="49">
        <v>24</v>
      </c>
      <c r="B274" s="50">
        <v>2020</v>
      </c>
      <c r="C274" s="50" t="s">
        <v>536</v>
      </c>
      <c r="D274" s="50" t="s">
        <v>537</v>
      </c>
      <c r="E274" s="111" t="s">
        <v>538</v>
      </c>
      <c r="F274" s="112" t="s">
        <v>539</v>
      </c>
      <c r="G274" s="54"/>
      <c r="H274" s="186"/>
      <c r="I274" s="185"/>
      <c r="J274" s="185"/>
      <c r="K274" s="187"/>
      <c r="L274" s="188"/>
      <c r="M274" s="189"/>
      <c r="N274" s="188"/>
      <c r="O274" s="185"/>
      <c r="P274" s="189"/>
      <c r="Q274" s="186"/>
      <c r="R274" s="186"/>
      <c r="S274" s="186"/>
      <c r="T274" s="186"/>
      <c r="U274" s="186"/>
      <c r="V274" s="186"/>
      <c r="W274" s="186"/>
      <c r="X274" s="186"/>
      <c r="Y274" s="186"/>
      <c r="Z274" s="186"/>
      <c r="AA274" s="186"/>
      <c r="AB274" s="186"/>
      <c r="AC274" s="186"/>
      <c r="AD274" s="186"/>
      <c r="AE274" s="186"/>
    </row>
    <row r="275" spans="1:43" s="4" customFormat="1" ht="100.2" customHeight="1" x14ac:dyDescent="0.45">
      <c r="A275" s="208" t="s">
        <v>10</v>
      </c>
      <c r="B275" s="209"/>
      <c r="C275" s="209"/>
      <c r="D275" s="209"/>
      <c r="E275" s="210"/>
      <c r="F275" s="205" t="s">
        <v>1733</v>
      </c>
      <c r="G275" s="200"/>
      <c r="H275" s="183"/>
      <c r="I275" s="185"/>
      <c r="J275" s="185"/>
      <c r="K275" s="187"/>
      <c r="L275" s="188"/>
      <c r="M275" s="189"/>
      <c r="N275" s="188"/>
      <c r="O275" s="185"/>
      <c r="P275" s="189"/>
      <c r="Q275" s="186"/>
      <c r="R275" s="186"/>
      <c r="S275" s="186"/>
      <c r="T275" s="186"/>
      <c r="U275" s="186"/>
      <c r="V275" s="186"/>
      <c r="W275" s="186"/>
      <c r="X275" s="186"/>
      <c r="Y275" s="186"/>
      <c r="Z275" s="186"/>
      <c r="AA275" s="186"/>
      <c r="AB275" s="186"/>
      <c r="AC275" s="186"/>
      <c r="AD275" s="186"/>
      <c r="AE275" s="186"/>
      <c r="AF275" s="184"/>
      <c r="AG275" s="184"/>
      <c r="AH275" s="184"/>
      <c r="AI275" s="184"/>
      <c r="AJ275" s="184"/>
      <c r="AK275" s="184"/>
      <c r="AL275" s="184"/>
      <c r="AM275" s="184"/>
      <c r="AN275" s="184"/>
      <c r="AO275" s="184"/>
      <c r="AP275" s="184"/>
      <c r="AQ275" s="184"/>
    </row>
    <row r="276" spans="1:43" s="9" customFormat="1" ht="100.2" customHeight="1" x14ac:dyDescent="0.45">
      <c r="A276" s="208"/>
      <c r="B276" s="209"/>
      <c r="C276" s="209"/>
      <c r="D276" s="209"/>
      <c r="E276" s="210"/>
      <c r="F276" s="206"/>
      <c r="G276" s="202"/>
      <c r="H276" s="183"/>
      <c r="I276" s="184"/>
      <c r="J276" s="184"/>
      <c r="K276" s="184"/>
      <c r="L276" s="184"/>
      <c r="M276" s="184"/>
      <c r="N276" s="184"/>
      <c r="O276" s="184"/>
      <c r="P276" s="184"/>
      <c r="Q276" s="184"/>
      <c r="R276" s="184"/>
      <c r="S276" s="184"/>
      <c r="T276" s="184"/>
      <c r="U276" s="184"/>
      <c r="V276" s="184"/>
      <c r="W276" s="184"/>
      <c r="X276" s="184"/>
      <c r="Y276" s="184"/>
      <c r="Z276" s="184"/>
      <c r="AA276" s="184"/>
      <c r="AB276" s="184"/>
      <c r="AC276" s="184"/>
      <c r="AD276" s="184"/>
      <c r="AE276" s="184"/>
      <c r="AF276" s="184"/>
      <c r="AG276" s="184"/>
      <c r="AH276" s="184"/>
      <c r="AI276" s="184"/>
      <c r="AJ276" s="184"/>
      <c r="AK276" s="184"/>
      <c r="AL276" s="184"/>
      <c r="AM276" s="184"/>
      <c r="AN276" s="184"/>
      <c r="AO276" s="184"/>
      <c r="AP276" s="184"/>
      <c r="AQ276" s="184"/>
    </row>
    <row r="277" spans="1:43" s="4" customFormat="1" ht="30" customHeight="1" x14ac:dyDescent="0.45">
      <c r="A277" s="208"/>
      <c r="B277" s="209"/>
      <c r="C277" s="209"/>
      <c r="D277" s="209"/>
      <c r="E277" s="210"/>
      <c r="F277" s="207"/>
      <c r="G277" s="204"/>
      <c r="H277" s="183"/>
      <c r="I277" s="184"/>
      <c r="J277" s="184"/>
      <c r="K277" s="184"/>
      <c r="L277" s="184"/>
      <c r="M277" s="184"/>
      <c r="N277" s="184"/>
      <c r="O277" s="184"/>
      <c r="P277" s="184"/>
      <c r="Q277" s="184"/>
      <c r="R277" s="184"/>
      <c r="S277" s="184"/>
      <c r="T277" s="184"/>
      <c r="U277" s="184"/>
      <c r="V277" s="184"/>
      <c r="W277" s="184"/>
      <c r="X277" s="184"/>
      <c r="Y277" s="184"/>
      <c r="Z277" s="184"/>
      <c r="AA277" s="184"/>
      <c r="AB277" s="184"/>
      <c r="AC277" s="184"/>
      <c r="AD277" s="184"/>
      <c r="AE277" s="184"/>
      <c r="AF277" s="184"/>
      <c r="AG277" s="184"/>
      <c r="AH277" s="184"/>
      <c r="AI277" s="184"/>
      <c r="AJ277" s="184"/>
      <c r="AK277" s="184"/>
      <c r="AL277" s="184"/>
      <c r="AM277" s="184"/>
      <c r="AN277" s="184"/>
      <c r="AO277" s="184"/>
      <c r="AP277" s="184"/>
      <c r="AQ277" s="184"/>
    </row>
    <row r="278" spans="1:43" s="9" customFormat="1" ht="100.2" customHeight="1" x14ac:dyDescent="0.45">
      <c r="A278" s="56" t="s">
        <v>12</v>
      </c>
      <c r="B278" s="55" t="s">
        <v>13</v>
      </c>
      <c r="C278" s="55" t="s">
        <v>14</v>
      </c>
      <c r="D278" s="55" t="s">
        <v>15</v>
      </c>
      <c r="E278" s="57" t="s">
        <v>16</v>
      </c>
      <c r="F278" s="56" t="s">
        <v>1735</v>
      </c>
      <c r="G278" s="55" t="s">
        <v>1737</v>
      </c>
      <c r="H278" s="184"/>
      <c r="I278" s="184"/>
      <c r="J278" s="184"/>
      <c r="K278" s="184"/>
      <c r="L278" s="184"/>
      <c r="M278" s="184"/>
      <c r="N278" s="184"/>
      <c r="O278" s="184"/>
      <c r="P278" s="184"/>
      <c r="Q278" s="184"/>
      <c r="R278" s="184"/>
      <c r="S278" s="184"/>
      <c r="T278" s="184"/>
      <c r="U278" s="184"/>
      <c r="V278" s="184"/>
      <c r="W278" s="184"/>
      <c r="X278" s="184"/>
      <c r="Y278" s="184"/>
      <c r="Z278" s="184"/>
      <c r="AA278" s="184"/>
      <c r="AB278" s="184"/>
      <c r="AC278" s="184"/>
      <c r="AD278" s="184"/>
      <c r="AE278" s="184"/>
      <c r="AF278" s="184"/>
      <c r="AG278" s="184"/>
      <c r="AH278" s="184"/>
      <c r="AI278" s="184"/>
      <c r="AJ278" s="184"/>
      <c r="AK278" s="184"/>
      <c r="AL278" s="184"/>
      <c r="AM278" s="184"/>
      <c r="AN278" s="184"/>
      <c r="AO278" s="184"/>
      <c r="AP278" s="184"/>
      <c r="AQ278" s="184"/>
    </row>
    <row r="279" spans="1:43" s="75" customFormat="1" ht="49.95" customHeight="1" x14ac:dyDescent="0.45">
      <c r="A279" s="66">
        <f>SUM(A272,1)</f>
        <v>872</v>
      </c>
      <c r="B279" s="59" t="s">
        <v>216</v>
      </c>
      <c r="C279" s="59" t="s">
        <v>540</v>
      </c>
      <c r="D279" s="113" t="s">
        <v>541</v>
      </c>
      <c r="E279" s="26"/>
      <c r="F279" s="85" t="s">
        <v>145</v>
      </c>
      <c r="G279" s="114"/>
      <c r="I279" s="184"/>
      <c r="J279" s="184"/>
      <c r="K279" s="184"/>
      <c r="L279" s="184"/>
      <c r="M279" s="184"/>
      <c r="N279" s="184"/>
      <c r="O279" s="184"/>
      <c r="P279" s="184"/>
      <c r="Q279" s="184"/>
      <c r="R279" s="184"/>
      <c r="S279" s="184"/>
      <c r="T279" s="184"/>
      <c r="U279" s="184"/>
      <c r="V279" s="184"/>
      <c r="W279" s="184"/>
      <c r="X279" s="184"/>
      <c r="Y279" s="184"/>
      <c r="Z279" s="184"/>
      <c r="AA279" s="184"/>
      <c r="AB279" s="184"/>
      <c r="AC279" s="184"/>
      <c r="AD279" s="184"/>
      <c r="AE279" s="184"/>
    </row>
    <row r="280" spans="1:43" s="75" customFormat="1" ht="49.95" customHeight="1" x14ac:dyDescent="0.3">
      <c r="A280" s="66">
        <f>SUM(A279,1)</f>
        <v>873</v>
      </c>
      <c r="B280" s="59">
        <v>1995</v>
      </c>
      <c r="C280" s="59" t="s">
        <v>542</v>
      </c>
      <c r="D280" s="113" t="s">
        <v>543</v>
      </c>
      <c r="E280" s="26"/>
      <c r="F280" s="85" t="s">
        <v>67</v>
      </c>
      <c r="G280" s="114"/>
    </row>
    <row r="281" spans="1:43" s="75" customFormat="1" ht="49.95" customHeight="1" x14ac:dyDescent="0.3">
      <c r="A281" s="66">
        <f t="shared" ref="A281:A289" si="6">SUM(A280,1)</f>
        <v>874</v>
      </c>
      <c r="B281" s="59">
        <v>2011</v>
      </c>
      <c r="C281" s="59" t="s">
        <v>544</v>
      </c>
      <c r="D281" s="113" t="s">
        <v>545</v>
      </c>
      <c r="E281" s="26"/>
      <c r="F281" s="85" t="s">
        <v>67</v>
      </c>
      <c r="G281" s="114"/>
    </row>
    <row r="282" spans="1:43" s="75" customFormat="1" ht="49.95" customHeight="1" x14ac:dyDescent="0.3">
      <c r="A282" s="66">
        <f t="shared" si="6"/>
        <v>875</v>
      </c>
      <c r="B282" s="59" t="s">
        <v>216</v>
      </c>
      <c r="C282" s="59" t="s">
        <v>546</v>
      </c>
      <c r="D282" s="113" t="s">
        <v>547</v>
      </c>
      <c r="E282" s="26"/>
      <c r="F282" s="85" t="s">
        <v>145</v>
      </c>
      <c r="G282" s="114"/>
    </row>
    <row r="283" spans="1:43" s="75" customFormat="1" ht="49.95" customHeight="1" x14ac:dyDescent="0.3">
      <c r="A283" s="66">
        <f t="shared" si="6"/>
        <v>876</v>
      </c>
      <c r="B283" s="59">
        <v>2008</v>
      </c>
      <c r="C283" s="59" t="s">
        <v>548</v>
      </c>
      <c r="D283" s="113" t="s">
        <v>549</v>
      </c>
      <c r="E283" s="26"/>
      <c r="F283" s="85" t="s">
        <v>67</v>
      </c>
      <c r="G283" s="114"/>
    </row>
    <row r="284" spans="1:43" s="75" customFormat="1" ht="49.95" customHeight="1" x14ac:dyDescent="0.25">
      <c r="A284" s="66">
        <f t="shared" si="6"/>
        <v>877</v>
      </c>
      <c r="B284" s="59">
        <v>2018</v>
      </c>
      <c r="C284" s="59" t="s">
        <v>550</v>
      </c>
      <c r="D284" s="113" t="s">
        <v>551</v>
      </c>
      <c r="E284" s="115" t="s">
        <v>552</v>
      </c>
      <c r="F284" s="85" t="s">
        <v>1717</v>
      </c>
      <c r="G284" s="94"/>
    </row>
    <row r="285" spans="1:43" s="75" customFormat="1" ht="49.95" customHeight="1" x14ac:dyDescent="0.3">
      <c r="A285" s="66">
        <f t="shared" si="6"/>
        <v>878</v>
      </c>
      <c r="B285" s="59">
        <v>2011</v>
      </c>
      <c r="C285" s="59" t="s">
        <v>553</v>
      </c>
      <c r="D285" s="113" t="s">
        <v>554</v>
      </c>
      <c r="E285" s="26"/>
      <c r="F285" s="85" t="s">
        <v>67</v>
      </c>
      <c r="G285" s="114"/>
    </row>
    <row r="286" spans="1:43" s="75" customFormat="1" ht="49.95" customHeight="1" x14ac:dyDescent="0.3">
      <c r="A286" s="66">
        <f t="shared" si="6"/>
        <v>879</v>
      </c>
      <c r="B286" s="59" t="s">
        <v>216</v>
      </c>
      <c r="C286" s="59" t="s">
        <v>555</v>
      </c>
      <c r="D286" s="113" t="s">
        <v>556</v>
      </c>
      <c r="E286" s="26"/>
      <c r="F286" s="85" t="s">
        <v>145</v>
      </c>
      <c r="G286" s="114"/>
    </row>
    <row r="287" spans="1:43" s="75" customFormat="1" ht="49.95" customHeight="1" x14ac:dyDescent="0.3">
      <c r="A287" s="66">
        <f t="shared" si="6"/>
        <v>880</v>
      </c>
      <c r="B287" s="59">
        <v>2023</v>
      </c>
      <c r="C287" s="59" t="s">
        <v>557</v>
      </c>
      <c r="D287" s="59" t="s">
        <v>558</v>
      </c>
      <c r="E287" s="26"/>
      <c r="F287" s="85" t="s">
        <v>145</v>
      </c>
      <c r="G287" s="114"/>
    </row>
    <row r="288" spans="1:43" s="75" customFormat="1" ht="49.95" customHeight="1" x14ac:dyDescent="0.3">
      <c r="A288" s="66">
        <f t="shared" si="6"/>
        <v>881</v>
      </c>
      <c r="B288" s="59">
        <v>2025</v>
      </c>
      <c r="C288" s="59" t="s">
        <v>559</v>
      </c>
      <c r="D288" s="59" t="s">
        <v>560</v>
      </c>
      <c r="E288" s="26"/>
      <c r="F288" s="85" t="s">
        <v>145</v>
      </c>
      <c r="G288" s="114"/>
    </row>
    <row r="289" spans="1:43" s="75" customFormat="1" ht="49.95" customHeight="1" x14ac:dyDescent="0.3">
      <c r="A289" s="66">
        <f t="shared" si="6"/>
        <v>882</v>
      </c>
      <c r="B289" s="59">
        <v>2023</v>
      </c>
      <c r="C289" s="59" t="s">
        <v>561</v>
      </c>
      <c r="D289" s="59" t="s">
        <v>562</v>
      </c>
      <c r="E289" s="86"/>
      <c r="F289" s="116" t="s">
        <v>1718</v>
      </c>
      <c r="G289" s="94"/>
    </row>
    <row r="290" spans="1:43" s="75" customFormat="1" ht="49.95" customHeight="1" x14ac:dyDescent="0.3">
      <c r="A290" s="66">
        <f>SUM(A289,1)</f>
        <v>883</v>
      </c>
      <c r="B290" s="59">
        <v>2021</v>
      </c>
      <c r="C290" s="59" t="s">
        <v>563</v>
      </c>
      <c r="D290" s="59" t="s">
        <v>564</v>
      </c>
      <c r="E290" s="26"/>
      <c r="F290" s="27"/>
      <c r="G290" s="85" t="s">
        <v>517</v>
      </c>
      <c r="O290" s="114"/>
      <c r="P290" s="28"/>
      <c r="Q290" s="117"/>
    </row>
    <row r="291" spans="1:43" ht="23.4" x14ac:dyDescent="0.45">
      <c r="A291" s="44" t="s">
        <v>0</v>
      </c>
      <c r="B291" s="44" t="s">
        <v>1</v>
      </c>
      <c r="C291" s="44" t="s">
        <v>2</v>
      </c>
      <c r="D291" s="44" t="s">
        <v>3</v>
      </c>
      <c r="E291" s="44" t="s">
        <v>4</v>
      </c>
      <c r="F291" s="118" t="s">
        <v>5</v>
      </c>
      <c r="G291" s="47"/>
      <c r="H291" s="185"/>
      <c r="I291" s="185"/>
      <c r="J291" s="185"/>
      <c r="K291" s="187"/>
      <c r="L291" s="188"/>
      <c r="M291" s="189"/>
      <c r="N291" s="188"/>
      <c r="O291" s="185"/>
      <c r="P291" s="189"/>
      <c r="Q291" s="186"/>
      <c r="R291" s="186"/>
      <c r="S291" s="186"/>
      <c r="T291" s="186"/>
      <c r="U291" s="186"/>
      <c r="V291" s="186"/>
      <c r="W291" s="186"/>
      <c r="X291" s="186"/>
      <c r="Y291" s="186"/>
      <c r="Z291" s="186"/>
      <c r="AA291" s="186"/>
      <c r="AB291" s="186"/>
      <c r="AC291" s="186"/>
      <c r="AD291" s="186"/>
      <c r="AE291" s="186"/>
      <c r="AF291" s="186"/>
      <c r="AG291" s="186"/>
      <c r="AH291" s="186"/>
      <c r="AI291" s="186"/>
      <c r="AJ291" s="186"/>
      <c r="AK291" s="186"/>
      <c r="AL291" s="186"/>
      <c r="AM291" s="186"/>
      <c r="AN291" s="186"/>
      <c r="AO291" s="186"/>
      <c r="AP291" s="186"/>
      <c r="AQ291" s="186"/>
    </row>
    <row r="292" spans="1:43" ht="46.8" x14ac:dyDescent="0.45">
      <c r="A292" s="49">
        <v>26</v>
      </c>
      <c r="B292" s="50">
        <v>2015</v>
      </c>
      <c r="C292" s="50" t="s">
        <v>565</v>
      </c>
      <c r="D292" s="50" t="s">
        <v>566</v>
      </c>
      <c r="E292" s="111" t="s">
        <v>567</v>
      </c>
      <c r="F292" s="112" t="s">
        <v>568</v>
      </c>
      <c r="G292" s="54"/>
      <c r="H292" s="185"/>
      <c r="I292" s="185"/>
      <c r="J292" s="185"/>
      <c r="K292" s="187"/>
      <c r="L292" s="188"/>
      <c r="M292" s="189"/>
      <c r="N292" s="188"/>
      <c r="O292" s="185"/>
      <c r="P292" s="189"/>
      <c r="Q292" s="186"/>
      <c r="R292" s="186"/>
      <c r="S292" s="186"/>
      <c r="T292" s="186"/>
      <c r="U292" s="186"/>
      <c r="V292" s="186"/>
      <c r="W292" s="186"/>
      <c r="X292" s="186"/>
      <c r="Y292" s="186"/>
      <c r="Z292" s="186"/>
      <c r="AA292" s="186"/>
      <c r="AB292" s="186"/>
      <c r="AC292" s="186"/>
      <c r="AD292" s="186"/>
      <c r="AE292" s="186"/>
      <c r="AF292" s="186"/>
      <c r="AG292" s="186"/>
      <c r="AH292" s="186"/>
      <c r="AI292" s="186"/>
      <c r="AJ292" s="186"/>
      <c r="AK292" s="186"/>
      <c r="AL292" s="186"/>
      <c r="AM292" s="186"/>
      <c r="AN292" s="186"/>
      <c r="AO292" s="186"/>
      <c r="AP292" s="186"/>
      <c r="AQ292" s="186"/>
    </row>
    <row r="293" spans="1:43" s="4" customFormat="1" ht="100.2" customHeight="1" x14ac:dyDescent="0.45">
      <c r="A293" s="208" t="s">
        <v>10</v>
      </c>
      <c r="B293" s="209"/>
      <c r="C293" s="209"/>
      <c r="D293" s="209"/>
      <c r="E293" s="210"/>
      <c r="F293" s="205" t="s">
        <v>1733</v>
      </c>
      <c r="G293" s="200"/>
      <c r="H293" s="183"/>
      <c r="I293" s="184"/>
      <c r="J293" s="184"/>
      <c r="K293" s="184"/>
      <c r="L293" s="184"/>
      <c r="M293" s="184"/>
      <c r="N293" s="184"/>
      <c r="O293" s="184"/>
      <c r="P293" s="184"/>
      <c r="Q293" s="184"/>
      <c r="R293" s="184"/>
      <c r="S293" s="184"/>
      <c r="T293" s="184"/>
      <c r="U293" s="184"/>
      <c r="V293" s="184"/>
      <c r="W293" s="184"/>
      <c r="X293" s="184"/>
      <c r="Y293" s="184"/>
      <c r="Z293" s="184"/>
      <c r="AA293" s="184"/>
      <c r="AB293" s="184"/>
      <c r="AC293" s="184"/>
      <c r="AD293" s="184"/>
      <c r="AE293" s="184"/>
      <c r="AF293" s="184"/>
      <c r="AG293" s="184"/>
      <c r="AH293" s="184"/>
      <c r="AI293" s="184"/>
      <c r="AJ293" s="184"/>
      <c r="AK293" s="184"/>
      <c r="AL293" s="184"/>
      <c r="AM293" s="184"/>
      <c r="AN293" s="184"/>
      <c r="AO293" s="184"/>
    </row>
    <row r="294" spans="1:43" s="9" customFormat="1" ht="100.2" customHeight="1" x14ac:dyDescent="0.45">
      <c r="A294" s="208"/>
      <c r="B294" s="209"/>
      <c r="C294" s="209"/>
      <c r="D294" s="209"/>
      <c r="E294" s="210"/>
      <c r="F294" s="206"/>
      <c r="G294" s="202"/>
      <c r="H294" s="183"/>
      <c r="I294" s="184"/>
      <c r="J294" s="184"/>
      <c r="K294" s="184"/>
      <c r="L294" s="184"/>
      <c r="M294" s="184"/>
      <c r="N294" s="184"/>
      <c r="O294" s="184"/>
      <c r="P294" s="184"/>
      <c r="Q294" s="184"/>
      <c r="R294" s="184"/>
      <c r="S294" s="184"/>
      <c r="T294" s="184"/>
      <c r="U294" s="184"/>
      <c r="V294" s="184"/>
      <c r="W294" s="184"/>
      <c r="X294" s="184"/>
      <c r="Y294" s="184"/>
      <c r="Z294" s="184"/>
      <c r="AA294" s="184"/>
      <c r="AB294" s="184"/>
      <c r="AC294" s="184"/>
      <c r="AD294" s="184"/>
      <c r="AE294" s="184"/>
      <c r="AF294" s="184"/>
    </row>
    <row r="295" spans="1:43" s="4" customFormat="1" ht="30" customHeight="1" x14ac:dyDescent="0.45">
      <c r="A295" s="208"/>
      <c r="B295" s="209"/>
      <c r="C295" s="209"/>
      <c r="D295" s="209"/>
      <c r="E295" s="210"/>
      <c r="F295" s="207"/>
      <c r="G295" s="204"/>
      <c r="H295" s="183"/>
      <c r="I295" s="184"/>
      <c r="J295" s="184"/>
      <c r="K295" s="184"/>
      <c r="L295" s="184"/>
      <c r="M295" s="184"/>
      <c r="N295" s="184"/>
      <c r="O295" s="184"/>
      <c r="P295" s="184"/>
      <c r="Q295" s="184"/>
      <c r="R295" s="184"/>
      <c r="S295" s="184"/>
      <c r="T295" s="184"/>
      <c r="U295" s="184"/>
      <c r="V295" s="184"/>
      <c r="W295" s="184"/>
      <c r="X295" s="184"/>
      <c r="Y295" s="184"/>
      <c r="Z295" s="184"/>
      <c r="AA295" s="184"/>
      <c r="AB295" s="184"/>
      <c r="AC295" s="184"/>
      <c r="AD295" s="184"/>
      <c r="AE295" s="184"/>
      <c r="AF295" s="184"/>
    </row>
    <row r="296" spans="1:43" s="9" customFormat="1" ht="100.2" customHeight="1" thickBot="1" x14ac:dyDescent="0.5">
      <c r="A296" s="56" t="s">
        <v>12</v>
      </c>
      <c r="B296" s="55" t="s">
        <v>13</v>
      </c>
      <c r="C296" s="55" t="s">
        <v>14</v>
      </c>
      <c r="D296" s="55" t="s">
        <v>15</v>
      </c>
      <c r="E296" s="57" t="s">
        <v>16</v>
      </c>
      <c r="F296" s="119" t="s">
        <v>1735</v>
      </c>
      <c r="G296" s="55" t="s">
        <v>1737</v>
      </c>
      <c r="H296" s="184"/>
      <c r="I296" s="184"/>
      <c r="J296" s="184"/>
      <c r="K296" s="184"/>
      <c r="L296" s="184"/>
      <c r="M296" s="184"/>
      <c r="N296" s="184"/>
      <c r="O296" s="184"/>
      <c r="P296" s="184"/>
      <c r="Q296" s="184"/>
      <c r="R296" s="184"/>
      <c r="S296" s="184"/>
      <c r="T296" s="184"/>
      <c r="U296" s="184"/>
      <c r="V296" s="184"/>
      <c r="W296" s="184"/>
      <c r="X296" s="184"/>
      <c r="Y296" s="184"/>
      <c r="Z296" s="184"/>
      <c r="AA296" s="184"/>
      <c r="AB296" s="184"/>
      <c r="AC296" s="184"/>
      <c r="AD296" s="184"/>
      <c r="AE296" s="184"/>
      <c r="AF296" s="184"/>
    </row>
    <row r="297" spans="1:43" s="75" customFormat="1" ht="49.95" customHeight="1" thickBot="1" x14ac:dyDescent="0.35">
      <c r="A297" s="66">
        <f>SUM(A290,1)</f>
        <v>884</v>
      </c>
      <c r="B297" s="59">
        <v>2011</v>
      </c>
      <c r="C297" s="59" t="s">
        <v>569</v>
      </c>
      <c r="D297" s="113" t="s">
        <v>570</v>
      </c>
      <c r="E297" s="26"/>
      <c r="F297" s="120" t="s">
        <v>67</v>
      </c>
      <c r="G297" s="121"/>
    </row>
    <row r="298" spans="1:43" s="75" customFormat="1" ht="49.95" customHeight="1" x14ac:dyDescent="0.3">
      <c r="A298" s="66">
        <f>SUM(A297,1)</f>
        <v>885</v>
      </c>
      <c r="B298" s="59">
        <v>1992</v>
      </c>
      <c r="C298" s="59" t="s">
        <v>571</v>
      </c>
      <c r="D298" s="113" t="s">
        <v>572</v>
      </c>
      <c r="E298" s="26"/>
      <c r="F298" s="122" t="s">
        <v>67</v>
      </c>
      <c r="G298" s="121"/>
    </row>
    <row r="299" spans="1:43" s="75" customFormat="1" ht="49.95" customHeight="1" x14ac:dyDescent="0.3">
      <c r="A299" s="66">
        <f t="shared" ref="A299:A349" si="7">SUM(A298,1)</f>
        <v>886</v>
      </c>
      <c r="B299" s="59">
        <v>2014</v>
      </c>
      <c r="C299" s="59" t="s">
        <v>573</v>
      </c>
      <c r="D299" s="113" t="s">
        <v>574</v>
      </c>
      <c r="E299" s="26"/>
      <c r="F299" s="85" t="s">
        <v>67</v>
      </c>
      <c r="G299" s="121"/>
    </row>
    <row r="300" spans="1:43" s="75" customFormat="1" ht="49.95" customHeight="1" x14ac:dyDescent="0.3">
      <c r="A300" s="66">
        <f t="shared" si="7"/>
        <v>887</v>
      </c>
      <c r="B300" s="59">
        <v>2010</v>
      </c>
      <c r="C300" s="59" t="s">
        <v>575</v>
      </c>
      <c r="D300" s="113" t="s">
        <v>576</v>
      </c>
      <c r="E300" s="26"/>
      <c r="F300" s="85" t="s">
        <v>67</v>
      </c>
      <c r="G300" s="121"/>
    </row>
    <row r="301" spans="1:43" s="75" customFormat="1" ht="49.95" customHeight="1" x14ac:dyDescent="0.3">
      <c r="A301" s="66">
        <f t="shared" si="7"/>
        <v>888</v>
      </c>
      <c r="B301" s="59">
        <v>2013</v>
      </c>
      <c r="C301" s="59" t="s">
        <v>577</v>
      </c>
      <c r="D301" s="113" t="s">
        <v>578</v>
      </c>
      <c r="E301" s="26"/>
      <c r="F301" s="85" t="s">
        <v>67</v>
      </c>
      <c r="G301" s="121"/>
    </row>
    <row r="302" spans="1:43" s="75" customFormat="1" ht="49.95" customHeight="1" x14ac:dyDescent="0.3">
      <c r="A302" s="66">
        <f t="shared" si="7"/>
        <v>889</v>
      </c>
      <c r="B302" s="59">
        <v>2003</v>
      </c>
      <c r="C302" s="59" t="s">
        <v>579</v>
      </c>
      <c r="D302" s="113" t="s">
        <v>580</v>
      </c>
      <c r="E302" s="26"/>
      <c r="F302" s="85" t="s">
        <v>67</v>
      </c>
      <c r="G302" s="121"/>
    </row>
    <row r="303" spans="1:43" s="75" customFormat="1" ht="49.95" customHeight="1" x14ac:dyDescent="0.3">
      <c r="A303" s="66">
        <f t="shared" si="7"/>
        <v>890</v>
      </c>
      <c r="B303" s="59">
        <v>2010</v>
      </c>
      <c r="C303" s="59" t="s">
        <v>581</v>
      </c>
      <c r="D303" s="113" t="s">
        <v>582</v>
      </c>
      <c r="E303" s="26"/>
      <c r="F303" s="85" t="s">
        <v>67</v>
      </c>
      <c r="G303" s="121"/>
    </row>
    <row r="304" spans="1:43" s="75" customFormat="1" ht="49.95" customHeight="1" x14ac:dyDescent="0.3">
      <c r="A304" s="66">
        <f t="shared" si="7"/>
        <v>891</v>
      </c>
      <c r="B304" s="59">
        <v>2009</v>
      </c>
      <c r="C304" s="59" t="s">
        <v>583</v>
      </c>
      <c r="D304" s="113" t="s">
        <v>584</v>
      </c>
      <c r="E304" s="26"/>
      <c r="F304" s="85" t="s">
        <v>67</v>
      </c>
      <c r="G304" s="121"/>
    </row>
    <row r="305" spans="1:32" s="75" customFormat="1" ht="49.95" customHeight="1" x14ac:dyDescent="0.3">
      <c r="A305" s="66">
        <f t="shared" si="7"/>
        <v>892</v>
      </c>
      <c r="B305" s="59">
        <v>2014</v>
      </c>
      <c r="C305" s="59" t="s">
        <v>585</v>
      </c>
      <c r="D305" s="113" t="s">
        <v>586</v>
      </c>
      <c r="E305" s="26"/>
      <c r="F305" s="85" t="s">
        <v>67</v>
      </c>
      <c r="G305" s="121"/>
    </row>
    <row r="306" spans="1:32" s="75" customFormat="1" ht="49.95" customHeight="1" x14ac:dyDescent="0.3">
      <c r="A306" s="66">
        <f t="shared" si="7"/>
        <v>893</v>
      </c>
      <c r="B306" s="59">
        <v>2002</v>
      </c>
      <c r="C306" s="59" t="s">
        <v>587</v>
      </c>
      <c r="D306" s="113" t="s">
        <v>588</v>
      </c>
      <c r="E306" s="26"/>
      <c r="F306" s="85" t="s">
        <v>67</v>
      </c>
      <c r="G306" s="121"/>
    </row>
    <row r="307" spans="1:32" s="75" customFormat="1" ht="49.95" customHeight="1" x14ac:dyDescent="0.3">
      <c r="A307" s="66">
        <f t="shared" si="7"/>
        <v>894</v>
      </c>
      <c r="B307" s="59">
        <v>2011</v>
      </c>
      <c r="C307" s="59" t="s">
        <v>589</v>
      </c>
      <c r="D307" s="113" t="s">
        <v>590</v>
      </c>
      <c r="E307" s="26"/>
      <c r="F307" s="85" t="s">
        <v>67</v>
      </c>
      <c r="G307" s="121"/>
    </row>
    <row r="308" spans="1:32" s="123" customFormat="1" ht="49.95" customHeight="1" x14ac:dyDescent="0.3">
      <c r="A308" s="66">
        <f t="shared" si="7"/>
        <v>895</v>
      </c>
      <c r="B308" s="59">
        <v>2014</v>
      </c>
      <c r="C308" s="59" t="s">
        <v>591</v>
      </c>
      <c r="D308" s="113" t="s">
        <v>592</v>
      </c>
      <c r="E308" s="26"/>
      <c r="F308" s="85" t="s">
        <v>67</v>
      </c>
      <c r="G308" s="114"/>
      <c r="H308" s="190"/>
      <c r="I308" s="190"/>
      <c r="J308" s="190"/>
      <c r="K308" s="190"/>
      <c r="L308" s="190"/>
      <c r="M308" s="190"/>
      <c r="N308" s="190"/>
      <c r="O308" s="190"/>
      <c r="P308" s="190"/>
      <c r="Q308" s="190"/>
      <c r="R308" s="190"/>
      <c r="S308" s="190"/>
      <c r="T308" s="190"/>
      <c r="U308" s="190"/>
      <c r="V308" s="190"/>
      <c r="W308" s="190"/>
      <c r="X308" s="190"/>
      <c r="Y308" s="190"/>
      <c r="Z308" s="190"/>
      <c r="AA308" s="190"/>
      <c r="AB308" s="190"/>
      <c r="AC308" s="190"/>
      <c r="AD308" s="190"/>
      <c r="AE308" s="190"/>
      <c r="AF308" s="190"/>
    </row>
    <row r="309" spans="1:32" s="123" customFormat="1" ht="49.95" customHeight="1" x14ac:dyDescent="0.3">
      <c r="A309" s="66">
        <f t="shared" si="7"/>
        <v>896</v>
      </c>
      <c r="B309" s="59">
        <v>2014</v>
      </c>
      <c r="C309" s="59" t="s">
        <v>593</v>
      </c>
      <c r="D309" s="113" t="s">
        <v>594</v>
      </c>
      <c r="E309" s="26"/>
      <c r="F309" s="85" t="s">
        <v>67</v>
      </c>
      <c r="G309" s="114"/>
      <c r="H309" s="190"/>
      <c r="I309" s="190"/>
      <c r="J309" s="190"/>
      <c r="K309" s="190"/>
      <c r="L309" s="190"/>
      <c r="M309" s="190"/>
      <c r="N309" s="190"/>
      <c r="O309" s="190"/>
      <c r="P309" s="190"/>
      <c r="Q309" s="190"/>
      <c r="R309" s="190"/>
      <c r="S309" s="190"/>
      <c r="T309" s="190"/>
      <c r="U309" s="190"/>
      <c r="V309" s="190"/>
      <c r="W309" s="190"/>
      <c r="X309" s="190"/>
      <c r="Y309" s="190"/>
      <c r="Z309" s="190"/>
      <c r="AA309" s="190"/>
      <c r="AB309" s="190"/>
      <c r="AC309" s="190"/>
      <c r="AD309" s="190"/>
      <c r="AE309" s="190"/>
      <c r="AF309" s="190"/>
    </row>
    <row r="310" spans="1:32" s="123" customFormat="1" ht="49.95" customHeight="1" x14ac:dyDescent="0.3">
      <c r="A310" s="66">
        <f t="shared" si="7"/>
        <v>897</v>
      </c>
      <c r="B310" s="59">
        <v>2012</v>
      </c>
      <c r="C310" s="59" t="s">
        <v>595</v>
      </c>
      <c r="D310" s="113" t="s">
        <v>596</v>
      </c>
      <c r="E310" s="79"/>
      <c r="F310" s="85" t="s">
        <v>67</v>
      </c>
      <c r="G310" s="114"/>
      <c r="H310" s="190"/>
      <c r="I310" s="190"/>
      <c r="J310" s="190"/>
      <c r="K310" s="190"/>
      <c r="L310" s="190"/>
      <c r="M310" s="190"/>
      <c r="N310" s="190"/>
      <c r="O310" s="190"/>
      <c r="P310" s="190"/>
      <c r="Q310" s="190"/>
      <c r="R310" s="190"/>
      <c r="S310" s="190"/>
      <c r="T310" s="190"/>
      <c r="U310" s="190"/>
      <c r="V310" s="190"/>
      <c r="W310" s="190"/>
    </row>
    <row r="311" spans="1:32" s="123" customFormat="1" ht="49.95" customHeight="1" x14ac:dyDescent="0.3">
      <c r="A311" s="66">
        <f t="shared" si="7"/>
        <v>898</v>
      </c>
      <c r="B311" s="59">
        <v>2010</v>
      </c>
      <c r="C311" s="59" t="s">
        <v>597</v>
      </c>
      <c r="D311" s="113" t="s">
        <v>598</v>
      </c>
      <c r="E311" s="26"/>
      <c r="F311" s="124" t="s">
        <v>67</v>
      </c>
      <c r="G311" s="114"/>
      <c r="H311" s="190"/>
      <c r="I311" s="190"/>
      <c r="J311" s="190"/>
      <c r="K311" s="190"/>
      <c r="L311" s="190"/>
      <c r="M311" s="190"/>
      <c r="N311" s="190"/>
      <c r="O311" s="190"/>
      <c r="P311" s="190"/>
      <c r="Q311" s="190"/>
      <c r="R311" s="190"/>
      <c r="S311" s="190"/>
      <c r="T311" s="190"/>
      <c r="U311" s="190"/>
      <c r="V311" s="190"/>
      <c r="W311" s="190"/>
    </row>
    <row r="312" spans="1:32" s="123" customFormat="1" ht="49.95" customHeight="1" x14ac:dyDescent="0.3">
      <c r="A312" s="66">
        <f t="shared" si="7"/>
        <v>899</v>
      </c>
      <c r="B312" s="59">
        <v>2014</v>
      </c>
      <c r="C312" s="59" t="s">
        <v>599</v>
      </c>
      <c r="D312" s="113" t="s">
        <v>600</v>
      </c>
      <c r="E312" s="79"/>
      <c r="F312" s="85" t="s">
        <v>67</v>
      </c>
      <c r="G312" s="114"/>
      <c r="H312" s="190"/>
      <c r="I312" s="190"/>
      <c r="J312" s="190"/>
      <c r="K312" s="190"/>
      <c r="L312" s="190"/>
      <c r="M312" s="190"/>
      <c r="N312" s="190"/>
      <c r="O312" s="190"/>
      <c r="P312" s="190"/>
      <c r="Q312" s="190"/>
      <c r="R312" s="190"/>
      <c r="S312" s="190"/>
      <c r="T312" s="190"/>
      <c r="U312" s="190"/>
      <c r="V312" s="190"/>
      <c r="W312" s="190"/>
    </row>
    <row r="313" spans="1:32" s="123" customFormat="1" ht="49.95" customHeight="1" x14ac:dyDescent="0.3">
      <c r="A313" s="66">
        <f t="shared" si="7"/>
        <v>900</v>
      </c>
      <c r="B313" s="59">
        <v>2009</v>
      </c>
      <c r="C313" s="59" t="s">
        <v>601</v>
      </c>
      <c r="D313" s="113" t="s">
        <v>602</v>
      </c>
      <c r="E313" s="26"/>
      <c r="F313" s="85" t="s">
        <v>67</v>
      </c>
      <c r="G313" s="114"/>
      <c r="H313" s="190"/>
      <c r="I313" s="190"/>
      <c r="J313" s="190"/>
      <c r="K313" s="190"/>
      <c r="L313" s="190"/>
      <c r="M313" s="190"/>
      <c r="N313" s="190"/>
      <c r="O313" s="190"/>
      <c r="P313" s="190"/>
      <c r="Q313" s="190"/>
      <c r="R313" s="190"/>
      <c r="S313" s="190"/>
      <c r="T313" s="190"/>
      <c r="U313" s="190"/>
      <c r="V313" s="190"/>
      <c r="W313" s="190"/>
    </row>
    <row r="314" spans="1:32" s="123" customFormat="1" ht="49.95" customHeight="1" x14ac:dyDescent="0.3">
      <c r="A314" s="66">
        <f t="shared" si="7"/>
        <v>901</v>
      </c>
      <c r="B314" s="59">
        <v>2009</v>
      </c>
      <c r="C314" s="59" t="s">
        <v>603</v>
      </c>
      <c r="D314" s="113" t="s">
        <v>604</v>
      </c>
      <c r="E314" s="26"/>
      <c r="F314" s="85" t="s">
        <v>67</v>
      </c>
      <c r="G314" s="114"/>
      <c r="H314" s="190"/>
      <c r="I314" s="190"/>
      <c r="J314" s="190"/>
      <c r="K314" s="190"/>
      <c r="L314" s="190"/>
      <c r="M314" s="190"/>
      <c r="N314" s="190"/>
      <c r="O314" s="190"/>
      <c r="P314" s="190"/>
      <c r="Q314" s="190"/>
      <c r="R314" s="190"/>
      <c r="S314" s="190"/>
      <c r="T314" s="190"/>
      <c r="U314" s="190"/>
      <c r="V314" s="190"/>
      <c r="W314" s="190"/>
    </row>
    <row r="315" spans="1:32" s="123" customFormat="1" ht="49.95" customHeight="1" x14ac:dyDescent="0.3">
      <c r="A315" s="66">
        <f t="shared" si="7"/>
        <v>902</v>
      </c>
      <c r="B315" s="59">
        <v>2007</v>
      </c>
      <c r="C315" s="59" t="s">
        <v>605</v>
      </c>
      <c r="D315" s="113" t="s">
        <v>606</v>
      </c>
      <c r="E315" s="26"/>
      <c r="F315" s="85" t="s">
        <v>67</v>
      </c>
      <c r="G315" s="114"/>
      <c r="H315" s="190"/>
      <c r="I315" s="190"/>
      <c r="J315" s="190"/>
      <c r="K315" s="190"/>
      <c r="L315" s="190"/>
      <c r="M315" s="190"/>
      <c r="N315" s="190"/>
      <c r="O315" s="190"/>
      <c r="P315" s="190"/>
      <c r="Q315" s="190"/>
      <c r="R315" s="190"/>
      <c r="S315" s="190"/>
      <c r="T315" s="190"/>
      <c r="U315" s="190"/>
      <c r="V315" s="190"/>
      <c r="W315" s="190"/>
    </row>
    <row r="316" spans="1:32" s="123" customFormat="1" ht="49.95" customHeight="1" x14ac:dyDescent="0.3">
      <c r="A316" s="66">
        <f t="shared" si="7"/>
        <v>903</v>
      </c>
      <c r="B316" s="59">
        <v>2003</v>
      </c>
      <c r="C316" s="59" t="s">
        <v>607</v>
      </c>
      <c r="D316" s="113" t="s">
        <v>608</v>
      </c>
      <c r="E316" s="79"/>
      <c r="F316" s="85" t="s">
        <v>67</v>
      </c>
      <c r="G316" s="114"/>
      <c r="H316" s="190"/>
      <c r="I316" s="190"/>
      <c r="J316" s="190"/>
      <c r="K316" s="190"/>
      <c r="L316" s="190"/>
      <c r="M316" s="190"/>
      <c r="N316" s="190"/>
      <c r="O316" s="190"/>
      <c r="P316" s="190"/>
      <c r="Q316" s="190"/>
      <c r="R316" s="190"/>
      <c r="S316" s="190"/>
      <c r="T316" s="190"/>
      <c r="U316" s="190"/>
      <c r="V316" s="190"/>
      <c r="W316" s="190"/>
    </row>
    <row r="317" spans="1:32" s="123" customFormat="1" ht="49.95" customHeight="1" x14ac:dyDescent="0.3">
      <c r="A317" s="66">
        <f t="shared" si="7"/>
        <v>904</v>
      </c>
      <c r="B317" s="59">
        <v>2010</v>
      </c>
      <c r="C317" s="59" t="s">
        <v>398</v>
      </c>
      <c r="D317" s="113" t="s">
        <v>609</v>
      </c>
      <c r="E317" s="26"/>
      <c r="F317" s="85" t="s">
        <v>67</v>
      </c>
      <c r="G317" s="114"/>
      <c r="H317" s="190"/>
      <c r="I317" s="190"/>
      <c r="J317" s="190"/>
      <c r="K317" s="190"/>
      <c r="L317" s="190"/>
      <c r="M317" s="190"/>
      <c r="N317" s="190"/>
      <c r="O317" s="190"/>
      <c r="P317" s="190"/>
      <c r="Q317" s="190"/>
      <c r="R317" s="190"/>
      <c r="S317" s="190"/>
      <c r="T317" s="190"/>
      <c r="U317" s="190"/>
      <c r="V317" s="190"/>
      <c r="W317" s="190"/>
    </row>
    <row r="318" spans="1:32" s="123" customFormat="1" ht="49.95" customHeight="1" x14ac:dyDescent="0.3">
      <c r="A318" s="66">
        <f t="shared" si="7"/>
        <v>905</v>
      </c>
      <c r="B318" s="59">
        <v>2013</v>
      </c>
      <c r="C318" s="59" t="s">
        <v>610</v>
      </c>
      <c r="D318" s="113" t="s">
        <v>611</v>
      </c>
      <c r="E318" s="26"/>
      <c r="F318" s="85" t="s">
        <v>67</v>
      </c>
      <c r="G318" s="114"/>
      <c r="H318" s="190"/>
      <c r="I318" s="190"/>
      <c r="J318" s="190"/>
      <c r="K318" s="190"/>
      <c r="L318" s="190"/>
      <c r="M318" s="190"/>
      <c r="N318" s="190"/>
      <c r="O318" s="190"/>
      <c r="P318" s="190"/>
      <c r="Q318" s="190"/>
      <c r="R318" s="190"/>
      <c r="S318" s="190"/>
      <c r="T318" s="190"/>
      <c r="U318" s="190"/>
      <c r="V318" s="190"/>
      <c r="W318" s="190"/>
    </row>
    <row r="319" spans="1:32" s="123" customFormat="1" ht="49.95" customHeight="1" x14ac:dyDescent="0.3">
      <c r="A319" s="66">
        <f t="shared" si="7"/>
        <v>906</v>
      </c>
      <c r="B319" s="59" t="s">
        <v>216</v>
      </c>
      <c r="C319" s="59" t="s">
        <v>612</v>
      </c>
      <c r="D319" s="113" t="s">
        <v>613</v>
      </c>
      <c r="E319" s="26"/>
      <c r="F319" s="85" t="s">
        <v>145</v>
      </c>
      <c r="G319" s="114"/>
      <c r="H319" s="190"/>
      <c r="I319" s="190"/>
      <c r="J319" s="190"/>
      <c r="K319" s="190"/>
      <c r="L319" s="190"/>
      <c r="M319" s="190"/>
      <c r="N319" s="190"/>
      <c r="O319" s="190"/>
      <c r="P319" s="190"/>
      <c r="Q319" s="190"/>
      <c r="R319" s="190"/>
      <c r="S319" s="190"/>
      <c r="T319" s="190"/>
      <c r="U319" s="190"/>
      <c r="V319" s="190"/>
      <c r="W319" s="190"/>
    </row>
    <row r="320" spans="1:32" s="123" customFormat="1" ht="49.95" customHeight="1" x14ac:dyDescent="0.3">
      <c r="A320" s="66">
        <f t="shared" si="7"/>
        <v>907</v>
      </c>
      <c r="B320" s="59">
        <v>2004</v>
      </c>
      <c r="C320" s="59" t="s">
        <v>614</v>
      </c>
      <c r="D320" s="113" t="s">
        <v>615</v>
      </c>
      <c r="E320" s="26"/>
      <c r="F320" s="85" t="s">
        <v>67</v>
      </c>
      <c r="G320" s="114"/>
      <c r="H320" s="190"/>
      <c r="I320" s="190"/>
      <c r="J320" s="190"/>
      <c r="K320" s="190"/>
      <c r="L320" s="190"/>
      <c r="M320" s="190"/>
      <c r="N320" s="190"/>
      <c r="O320" s="190"/>
      <c r="P320" s="190"/>
      <c r="Q320" s="190"/>
      <c r="R320" s="190"/>
      <c r="S320" s="190"/>
      <c r="T320" s="190"/>
      <c r="U320" s="190"/>
      <c r="V320" s="190"/>
      <c r="W320" s="190"/>
    </row>
    <row r="321" spans="1:23" s="123" customFormat="1" ht="49.95" customHeight="1" x14ac:dyDescent="0.3">
      <c r="A321" s="66">
        <f t="shared" si="7"/>
        <v>908</v>
      </c>
      <c r="B321" s="59" t="s">
        <v>216</v>
      </c>
      <c r="C321" s="59" t="s">
        <v>616</v>
      </c>
      <c r="D321" s="113" t="s">
        <v>617</v>
      </c>
      <c r="E321" s="26"/>
      <c r="F321" s="85" t="s">
        <v>145</v>
      </c>
      <c r="G321" s="114"/>
      <c r="H321" s="190"/>
      <c r="I321" s="190"/>
      <c r="J321" s="190"/>
      <c r="K321" s="190"/>
      <c r="L321" s="190"/>
      <c r="M321" s="190"/>
      <c r="N321" s="190"/>
      <c r="O321" s="190"/>
      <c r="P321" s="190"/>
      <c r="Q321" s="190"/>
      <c r="R321" s="190"/>
      <c r="S321" s="190"/>
      <c r="T321" s="190"/>
      <c r="U321" s="190"/>
      <c r="V321" s="190"/>
      <c r="W321" s="190"/>
    </row>
    <row r="322" spans="1:23" s="123" customFormat="1" ht="49.95" customHeight="1" x14ac:dyDescent="0.3">
      <c r="A322" s="66">
        <f t="shared" si="7"/>
        <v>909</v>
      </c>
      <c r="B322" s="59">
        <v>2001</v>
      </c>
      <c r="C322" s="59" t="s">
        <v>618</v>
      </c>
      <c r="D322" s="113" t="s">
        <v>619</v>
      </c>
      <c r="E322" s="26"/>
      <c r="F322" s="85" t="s">
        <v>67</v>
      </c>
      <c r="G322" s="114"/>
      <c r="H322" s="190"/>
      <c r="I322" s="190"/>
      <c r="J322" s="190"/>
      <c r="K322" s="190"/>
      <c r="L322" s="190"/>
      <c r="M322" s="190"/>
      <c r="N322" s="190"/>
      <c r="O322" s="190"/>
      <c r="P322" s="190"/>
      <c r="Q322" s="190"/>
      <c r="R322" s="190"/>
      <c r="S322" s="190"/>
      <c r="T322" s="190"/>
      <c r="U322" s="190"/>
      <c r="V322" s="190"/>
      <c r="W322" s="190"/>
    </row>
    <row r="323" spans="1:23" s="123" customFormat="1" ht="49.95" customHeight="1" x14ac:dyDescent="0.3">
      <c r="A323" s="66">
        <f t="shared" si="7"/>
        <v>910</v>
      </c>
      <c r="B323" s="59">
        <v>2009</v>
      </c>
      <c r="C323" s="59" t="s">
        <v>620</v>
      </c>
      <c r="D323" s="113" t="s">
        <v>621</v>
      </c>
      <c r="E323" s="26"/>
      <c r="F323" s="85" t="s">
        <v>67</v>
      </c>
      <c r="G323" s="114"/>
      <c r="H323" s="190"/>
      <c r="I323" s="190"/>
      <c r="J323" s="190"/>
      <c r="K323" s="190"/>
      <c r="L323" s="190"/>
      <c r="M323" s="190"/>
      <c r="N323" s="190"/>
      <c r="O323" s="190"/>
      <c r="P323" s="190"/>
      <c r="Q323" s="190"/>
      <c r="R323" s="190"/>
      <c r="S323" s="190"/>
      <c r="T323" s="190"/>
      <c r="U323" s="190"/>
      <c r="V323" s="190"/>
      <c r="W323" s="190"/>
    </row>
    <row r="324" spans="1:23" s="123" customFormat="1" ht="49.95" customHeight="1" x14ac:dyDescent="0.3">
      <c r="A324" s="66">
        <f t="shared" si="7"/>
        <v>911</v>
      </c>
      <c r="B324" s="59">
        <v>2014</v>
      </c>
      <c r="C324" s="59" t="s">
        <v>622</v>
      </c>
      <c r="D324" s="113" t="s">
        <v>623</v>
      </c>
      <c r="E324" s="26"/>
      <c r="F324" s="85" t="s">
        <v>67</v>
      </c>
      <c r="G324" s="114"/>
      <c r="H324" s="190"/>
      <c r="I324" s="190"/>
      <c r="J324" s="190"/>
      <c r="K324" s="190"/>
      <c r="L324" s="190"/>
      <c r="M324" s="190"/>
      <c r="N324" s="190"/>
      <c r="O324" s="190"/>
      <c r="P324" s="190"/>
      <c r="Q324" s="190"/>
      <c r="R324" s="190"/>
      <c r="S324" s="190"/>
      <c r="T324" s="190"/>
      <c r="U324" s="190"/>
      <c r="V324" s="190"/>
      <c r="W324" s="190"/>
    </row>
    <row r="325" spans="1:23" s="123" customFormat="1" ht="49.95" customHeight="1" x14ac:dyDescent="0.3">
      <c r="A325" s="66">
        <f t="shared" si="7"/>
        <v>912</v>
      </c>
      <c r="B325" s="59">
        <v>2013</v>
      </c>
      <c r="C325" s="59" t="s">
        <v>624</v>
      </c>
      <c r="D325" s="113" t="s">
        <v>625</v>
      </c>
      <c r="E325" s="26"/>
      <c r="F325" s="85" t="s">
        <v>67</v>
      </c>
      <c r="G325" s="114"/>
      <c r="H325" s="190"/>
      <c r="I325" s="190"/>
      <c r="J325" s="190"/>
      <c r="K325" s="190"/>
      <c r="L325" s="190"/>
      <c r="M325" s="190"/>
      <c r="N325" s="190"/>
      <c r="O325" s="190"/>
      <c r="P325" s="190"/>
      <c r="Q325" s="190"/>
      <c r="R325" s="190"/>
      <c r="S325" s="190"/>
      <c r="T325" s="190"/>
      <c r="U325" s="190"/>
      <c r="V325" s="190"/>
      <c r="W325" s="190"/>
    </row>
    <row r="326" spans="1:23" ht="49.95" customHeight="1" x14ac:dyDescent="0.3">
      <c r="A326" s="66">
        <f t="shared" si="7"/>
        <v>913</v>
      </c>
      <c r="B326" s="59">
        <v>2022</v>
      </c>
      <c r="C326" s="59" t="s">
        <v>626</v>
      </c>
      <c r="D326" s="59" t="s">
        <v>627</v>
      </c>
      <c r="E326" s="86" t="s">
        <v>628</v>
      </c>
      <c r="F326" s="85" t="s">
        <v>261</v>
      </c>
      <c r="G326" s="94"/>
      <c r="H326" s="186"/>
      <c r="I326" s="186"/>
      <c r="J326" s="186"/>
      <c r="K326" s="186"/>
      <c r="L326" s="186"/>
      <c r="M326" s="186"/>
      <c r="N326" s="186"/>
      <c r="O326" s="186"/>
      <c r="P326" s="186"/>
      <c r="Q326" s="186"/>
      <c r="R326" s="186"/>
      <c r="S326" s="186"/>
      <c r="T326" s="186"/>
      <c r="U326" s="186"/>
      <c r="V326" s="186"/>
      <c r="W326" s="186"/>
    </row>
    <row r="327" spans="1:23" ht="49.95" customHeight="1" x14ac:dyDescent="0.3">
      <c r="A327" s="66">
        <f t="shared" si="7"/>
        <v>914</v>
      </c>
      <c r="B327" s="59">
        <v>2018</v>
      </c>
      <c r="C327" s="59" t="s">
        <v>629</v>
      </c>
      <c r="D327" s="59" t="s">
        <v>630</v>
      </c>
      <c r="E327" s="86" t="s">
        <v>631</v>
      </c>
      <c r="F327" s="85" t="s">
        <v>261</v>
      </c>
      <c r="G327" s="94"/>
      <c r="H327" s="186"/>
      <c r="I327" s="186"/>
      <c r="J327" s="186"/>
      <c r="K327" s="186"/>
      <c r="L327" s="186"/>
      <c r="M327" s="186"/>
      <c r="N327" s="186"/>
      <c r="O327" s="186"/>
      <c r="P327" s="186"/>
      <c r="Q327" s="186"/>
      <c r="R327" s="186"/>
      <c r="S327" s="186"/>
      <c r="T327" s="186"/>
      <c r="U327" s="186"/>
      <c r="V327" s="186"/>
      <c r="W327" s="186"/>
    </row>
    <row r="328" spans="1:23" ht="49.95" customHeight="1" x14ac:dyDescent="0.3">
      <c r="A328" s="66">
        <f t="shared" si="7"/>
        <v>915</v>
      </c>
      <c r="B328" s="59">
        <v>2024</v>
      </c>
      <c r="C328" s="59" t="s">
        <v>632</v>
      </c>
      <c r="D328" s="59" t="s">
        <v>633</v>
      </c>
      <c r="E328" s="26"/>
      <c r="F328" s="85" t="s">
        <v>184</v>
      </c>
      <c r="G328" s="114"/>
      <c r="H328" s="186"/>
      <c r="I328" s="186"/>
      <c r="J328" s="186"/>
      <c r="K328" s="186"/>
      <c r="L328" s="186"/>
      <c r="M328" s="186"/>
      <c r="N328" s="186"/>
      <c r="O328" s="186"/>
      <c r="P328" s="186"/>
      <c r="Q328" s="186"/>
      <c r="R328" s="186"/>
      <c r="S328" s="186"/>
      <c r="T328" s="186"/>
      <c r="U328" s="186"/>
      <c r="V328" s="186"/>
      <c r="W328" s="186"/>
    </row>
    <row r="329" spans="1:23" ht="49.95" customHeight="1" x14ac:dyDescent="0.3">
      <c r="A329" s="66">
        <f t="shared" si="7"/>
        <v>916</v>
      </c>
      <c r="B329" s="59">
        <v>2022</v>
      </c>
      <c r="C329" s="59" t="s">
        <v>634</v>
      </c>
      <c r="D329" s="59" t="s">
        <v>635</v>
      </c>
      <c r="E329" s="86"/>
      <c r="F329" s="125"/>
      <c r="G329" s="43" t="s">
        <v>331</v>
      </c>
      <c r="H329" s="186"/>
      <c r="I329" s="186"/>
      <c r="J329" s="186"/>
      <c r="K329" s="186"/>
      <c r="L329" s="186"/>
      <c r="M329" s="186"/>
      <c r="N329" s="186"/>
      <c r="O329" s="186"/>
      <c r="P329" s="186"/>
      <c r="Q329" s="186"/>
      <c r="R329" s="186"/>
      <c r="S329" s="186"/>
      <c r="T329" s="186"/>
      <c r="U329" s="186"/>
      <c r="V329" s="186"/>
      <c r="W329" s="186"/>
    </row>
    <row r="330" spans="1:23" ht="49.95" customHeight="1" x14ac:dyDescent="0.3">
      <c r="A330" s="66">
        <f t="shared" si="7"/>
        <v>917</v>
      </c>
      <c r="B330" s="59">
        <v>2023</v>
      </c>
      <c r="C330" s="59" t="s">
        <v>225</v>
      </c>
      <c r="D330" s="59" t="s">
        <v>636</v>
      </c>
      <c r="E330" s="86"/>
      <c r="F330" s="125"/>
      <c r="G330" s="43" t="s">
        <v>637</v>
      </c>
      <c r="H330" s="186"/>
      <c r="I330" s="186"/>
      <c r="J330" s="186"/>
      <c r="K330" s="186"/>
      <c r="L330" s="186"/>
      <c r="M330" s="186"/>
      <c r="N330" s="186"/>
      <c r="O330" s="186"/>
      <c r="P330" s="186"/>
      <c r="Q330" s="186"/>
      <c r="R330" s="186"/>
      <c r="S330" s="186"/>
      <c r="T330" s="186"/>
      <c r="U330" s="186"/>
      <c r="V330" s="186"/>
      <c r="W330" s="186"/>
    </row>
    <row r="331" spans="1:23" ht="49.95" customHeight="1" x14ac:dyDescent="0.3">
      <c r="A331" s="66">
        <f t="shared" si="7"/>
        <v>918</v>
      </c>
      <c r="B331" s="59">
        <v>2020</v>
      </c>
      <c r="C331" s="59" t="s">
        <v>638</v>
      </c>
      <c r="D331" s="59" t="s">
        <v>639</v>
      </c>
      <c r="E331" s="86"/>
      <c r="F331" s="125"/>
      <c r="G331" s="43" t="s">
        <v>331</v>
      </c>
      <c r="H331" s="186"/>
      <c r="I331" s="186"/>
      <c r="J331" s="186"/>
      <c r="K331" s="186"/>
      <c r="L331" s="186"/>
      <c r="M331" s="186"/>
      <c r="N331" s="186"/>
      <c r="O331" s="186"/>
      <c r="P331" s="186"/>
      <c r="Q331" s="186"/>
      <c r="R331" s="186"/>
      <c r="S331" s="186"/>
      <c r="T331" s="186"/>
      <c r="U331" s="186"/>
      <c r="V331" s="186"/>
      <c r="W331" s="186"/>
    </row>
    <row r="332" spans="1:23" ht="49.95" customHeight="1" x14ac:dyDescent="0.3">
      <c r="A332" s="66">
        <f t="shared" si="7"/>
        <v>919</v>
      </c>
      <c r="B332" s="59">
        <v>2020</v>
      </c>
      <c r="C332" s="59" t="s">
        <v>640</v>
      </c>
      <c r="D332" s="59" t="s">
        <v>641</v>
      </c>
      <c r="E332" s="86"/>
      <c r="F332" s="125"/>
      <c r="G332" s="38"/>
      <c r="H332" s="186"/>
      <c r="I332" s="186"/>
      <c r="J332" s="186"/>
      <c r="K332" s="186"/>
      <c r="L332" s="186"/>
      <c r="M332" s="186"/>
      <c r="N332" s="186"/>
      <c r="O332" s="186"/>
      <c r="P332" s="186"/>
      <c r="Q332" s="186"/>
      <c r="R332" s="186"/>
      <c r="S332" s="186"/>
      <c r="T332" s="186"/>
      <c r="U332" s="186"/>
      <c r="V332" s="186"/>
      <c r="W332" s="186"/>
    </row>
    <row r="333" spans="1:23" ht="49.95" customHeight="1" x14ac:dyDescent="0.3">
      <c r="A333" s="66">
        <f t="shared" si="7"/>
        <v>920</v>
      </c>
      <c r="B333" s="59">
        <v>2019</v>
      </c>
      <c r="C333" s="59" t="s">
        <v>642</v>
      </c>
      <c r="D333" s="59" t="s">
        <v>643</v>
      </c>
      <c r="E333" s="86"/>
      <c r="F333" s="125"/>
      <c r="G333" s="43" t="s">
        <v>331</v>
      </c>
      <c r="H333" s="186"/>
      <c r="I333" s="186"/>
      <c r="J333" s="186"/>
      <c r="K333" s="186"/>
      <c r="L333" s="186"/>
      <c r="M333" s="186"/>
      <c r="N333" s="186"/>
      <c r="O333" s="186"/>
      <c r="P333" s="186"/>
      <c r="Q333" s="186"/>
      <c r="R333" s="186"/>
      <c r="S333" s="186"/>
      <c r="T333" s="186"/>
      <c r="U333" s="186"/>
      <c r="V333" s="186"/>
      <c r="W333" s="186"/>
    </row>
    <row r="334" spans="1:23" ht="49.95" customHeight="1" x14ac:dyDescent="0.3">
      <c r="A334" s="66">
        <f t="shared" si="7"/>
        <v>921</v>
      </c>
      <c r="B334" s="59">
        <v>2016</v>
      </c>
      <c r="C334" s="59" t="s">
        <v>644</v>
      </c>
      <c r="D334" s="59" t="s">
        <v>645</v>
      </c>
      <c r="E334" s="86"/>
      <c r="F334" s="125"/>
      <c r="G334" s="43" t="s">
        <v>331</v>
      </c>
      <c r="H334" s="186"/>
      <c r="I334" s="186"/>
      <c r="J334" s="186"/>
      <c r="K334" s="186"/>
      <c r="L334" s="186"/>
      <c r="M334" s="186"/>
      <c r="N334" s="186"/>
      <c r="O334" s="186"/>
      <c r="P334" s="186"/>
      <c r="Q334" s="186"/>
      <c r="R334" s="186"/>
      <c r="S334" s="186"/>
      <c r="T334" s="186"/>
      <c r="U334" s="186"/>
      <c r="V334" s="186"/>
      <c r="W334" s="186"/>
    </row>
    <row r="335" spans="1:23" ht="49.95" customHeight="1" x14ac:dyDescent="0.3">
      <c r="A335" s="66">
        <f t="shared" si="7"/>
        <v>922</v>
      </c>
      <c r="B335" s="59">
        <v>2015</v>
      </c>
      <c r="C335" s="59" t="s">
        <v>646</v>
      </c>
      <c r="D335" s="59" t="s">
        <v>647</v>
      </c>
      <c r="E335" s="86"/>
      <c r="F335" s="125"/>
      <c r="G335" s="43" t="s">
        <v>331</v>
      </c>
      <c r="H335" s="186"/>
      <c r="I335" s="186"/>
      <c r="J335" s="186"/>
      <c r="K335" s="186"/>
      <c r="L335" s="186"/>
      <c r="M335" s="186"/>
      <c r="N335" s="186"/>
      <c r="O335" s="186"/>
      <c r="P335" s="186"/>
      <c r="Q335" s="186"/>
      <c r="R335" s="186"/>
      <c r="S335" s="186"/>
      <c r="T335" s="186"/>
      <c r="U335" s="186"/>
      <c r="V335" s="186"/>
      <c r="W335" s="186"/>
    </row>
    <row r="336" spans="1:23" ht="49.95" customHeight="1" x14ac:dyDescent="0.3">
      <c r="A336" s="66">
        <f t="shared" si="7"/>
        <v>923</v>
      </c>
      <c r="B336" s="59">
        <v>2020</v>
      </c>
      <c r="C336" s="59" t="s">
        <v>648</v>
      </c>
      <c r="D336" s="59" t="s">
        <v>649</v>
      </c>
      <c r="E336" s="86"/>
      <c r="F336" s="125"/>
      <c r="G336" s="43" t="s">
        <v>331</v>
      </c>
      <c r="H336" s="186"/>
      <c r="I336" s="186"/>
      <c r="J336" s="186"/>
      <c r="K336" s="186"/>
      <c r="L336" s="186"/>
      <c r="M336" s="186"/>
      <c r="N336" s="186"/>
      <c r="O336" s="186"/>
      <c r="P336" s="186"/>
      <c r="Q336" s="186"/>
      <c r="R336" s="186"/>
      <c r="S336" s="186"/>
      <c r="T336" s="186"/>
      <c r="U336" s="186"/>
      <c r="V336" s="186"/>
      <c r="W336" s="186"/>
    </row>
    <row r="337" spans="1:27" ht="49.95" customHeight="1" x14ac:dyDescent="0.3">
      <c r="A337" s="66">
        <f t="shared" si="7"/>
        <v>924</v>
      </c>
      <c r="B337" s="59">
        <v>2018</v>
      </c>
      <c r="C337" s="59" t="s">
        <v>650</v>
      </c>
      <c r="D337" s="59" t="s">
        <v>651</v>
      </c>
      <c r="E337" s="86"/>
      <c r="F337" s="125"/>
      <c r="G337" s="43" t="s">
        <v>70</v>
      </c>
      <c r="H337" s="186"/>
      <c r="I337" s="186"/>
      <c r="J337" s="186"/>
      <c r="K337" s="186"/>
      <c r="L337" s="186"/>
      <c r="M337" s="186"/>
      <c r="N337" s="186"/>
      <c r="O337" s="186"/>
      <c r="P337" s="186"/>
      <c r="Q337" s="186"/>
      <c r="R337" s="186"/>
      <c r="S337" s="186"/>
      <c r="T337" s="186"/>
      <c r="U337" s="186"/>
      <c r="V337" s="186"/>
      <c r="W337" s="186"/>
    </row>
    <row r="338" spans="1:27" ht="49.95" customHeight="1" x14ac:dyDescent="0.3">
      <c r="A338" s="66">
        <f t="shared" si="7"/>
        <v>925</v>
      </c>
      <c r="B338" s="59">
        <v>2015</v>
      </c>
      <c r="C338" s="59" t="s">
        <v>652</v>
      </c>
      <c r="D338" s="59" t="s">
        <v>653</v>
      </c>
      <c r="E338" s="86"/>
      <c r="F338" s="125"/>
      <c r="G338" s="43" t="s">
        <v>331</v>
      </c>
      <c r="H338" s="186"/>
      <c r="I338" s="186"/>
      <c r="J338" s="186"/>
      <c r="K338" s="186"/>
      <c r="L338" s="186"/>
      <c r="M338" s="186"/>
      <c r="N338" s="186"/>
      <c r="O338" s="186"/>
      <c r="P338" s="186"/>
      <c r="Q338" s="186"/>
      <c r="R338" s="186"/>
      <c r="S338" s="186"/>
      <c r="T338" s="186"/>
      <c r="U338" s="186"/>
      <c r="V338" s="186"/>
      <c r="W338" s="186"/>
    </row>
    <row r="339" spans="1:27" ht="49.95" customHeight="1" x14ac:dyDescent="0.3">
      <c r="A339" s="66">
        <f t="shared" si="7"/>
        <v>926</v>
      </c>
      <c r="B339" s="59">
        <v>2025</v>
      </c>
      <c r="C339" s="59" t="s">
        <v>499</v>
      </c>
      <c r="D339" s="59" t="s">
        <v>500</v>
      </c>
      <c r="E339" s="26"/>
      <c r="F339" s="85" t="s">
        <v>184</v>
      </c>
      <c r="G339" s="114"/>
      <c r="H339" s="186"/>
      <c r="I339" s="186"/>
      <c r="J339" s="186"/>
      <c r="K339" s="186"/>
      <c r="L339" s="186"/>
      <c r="M339" s="186"/>
      <c r="N339" s="186"/>
      <c r="O339" s="186"/>
      <c r="P339" s="186"/>
      <c r="Q339" s="186"/>
      <c r="R339" s="186"/>
      <c r="S339" s="186"/>
      <c r="T339" s="186"/>
      <c r="U339" s="186"/>
      <c r="V339" s="186"/>
      <c r="W339" s="186"/>
    </row>
    <row r="340" spans="1:27" ht="49.95" customHeight="1" x14ac:dyDescent="0.3">
      <c r="A340" s="66">
        <f t="shared" si="7"/>
        <v>927</v>
      </c>
      <c r="B340" s="59">
        <v>2019</v>
      </c>
      <c r="C340" s="59" t="s">
        <v>654</v>
      </c>
      <c r="D340" s="59" t="s">
        <v>655</v>
      </c>
      <c r="E340" s="86"/>
      <c r="F340" s="125"/>
      <c r="G340" s="43" t="s">
        <v>70</v>
      </c>
      <c r="H340" s="186"/>
      <c r="I340" s="186"/>
      <c r="J340" s="186"/>
      <c r="K340" s="186"/>
      <c r="L340" s="186"/>
      <c r="M340" s="186"/>
      <c r="N340" s="186"/>
      <c r="O340" s="186"/>
      <c r="P340" s="186"/>
      <c r="Q340" s="186"/>
      <c r="R340" s="186"/>
      <c r="S340" s="186"/>
      <c r="T340" s="186"/>
      <c r="U340" s="186"/>
      <c r="V340" s="186"/>
      <c r="W340" s="186"/>
    </row>
    <row r="341" spans="1:27" ht="49.95" customHeight="1" x14ac:dyDescent="0.3">
      <c r="A341" s="66">
        <f t="shared" si="7"/>
        <v>928</v>
      </c>
      <c r="B341" s="59">
        <v>2016</v>
      </c>
      <c r="C341" s="59" t="s">
        <v>656</v>
      </c>
      <c r="D341" s="59" t="s">
        <v>657</v>
      </c>
      <c r="E341" s="104" t="s">
        <v>658</v>
      </c>
      <c r="F341" s="108" t="s">
        <v>1719</v>
      </c>
      <c r="G341" s="94"/>
      <c r="H341" s="186"/>
      <c r="I341" s="186"/>
      <c r="J341" s="186"/>
      <c r="K341" s="186"/>
      <c r="L341" s="186"/>
      <c r="M341" s="186"/>
      <c r="N341" s="186"/>
      <c r="O341" s="186"/>
      <c r="P341" s="186"/>
      <c r="Q341" s="186"/>
      <c r="R341" s="186"/>
      <c r="S341" s="186"/>
      <c r="T341" s="186"/>
      <c r="U341" s="186"/>
      <c r="V341" s="186"/>
      <c r="W341" s="186"/>
    </row>
    <row r="342" spans="1:27" ht="49.95" customHeight="1" x14ac:dyDescent="0.3">
      <c r="A342" s="66">
        <f t="shared" si="7"/>
        <v>929</v>
      </c>
      <c r="B342" s="59">
        <v>2018</v>
      </c>
      <c r="C342" s="59" t="s">
        <v>659</v>
      </c>
      <c r="D342" s="59" t="s">
        <v>660</v>
      </c>
      <c r="E342" s="86" t="s">
        <v>661</v>
      </c>
      <c r="F342" s="126" t="s">
        <v>1720</v>
      </c>
      <c r="G342" s="94"/>
      <c r="H342" s="186"/>
      <c r="I342" s="186"/>
      <c r="J342" s="186"/>
      <c r="K342" s="186"/>
      <c r="L342" s="186"/>
      <c r="M342" s="186"/>
      <c r="N342" s="186"/>
      <c r="O342" s="186"/>
      <c r="P342" s="186"/>
      <c r="Q342" s="186"/>
      <c r="R342" s="186"/>
      <c r="S342" s="186"/>
      <c r="T342" s="186"/>
      <c r="U342" s="186"/>
      <c r="V342" s="186"/>
      <c r="W342" s="186"/>
    </row>
    <row r="343" spans="1:27" ht="49.95" customHeight="1" x14ac:dyDescent="0.3">
      <c r="A343" s="66">
        <f t="shared" si="7"/>
        <v>930</v>
      </c>
      <c r="B343" s="59">
        <v>2021</v>
      </c>
      <c r="C343" s="59" t="s">
        <v>662</v>
      </c>
      <c r="D343" s="59" t="s">
        <v>663</v>
      </c>
      <c r="E343" s="127" t="s">
        <v>664</v>
      </c>
      <c r="F343" s="108" t="s">
        <v>1721</v>
      </c>
      <c r="G343" s="94"/>
      <c r="H343" s="186"/>
      <c r="I343" s="186"/>
      <c r="J343" s="186"/>
      <c r="K343" s="186"/>
      <c r="L343" s="186"/>
      <c r="M343" s="186"/>
      <c r="N343" s="186"/>
      <c r="O343" s="186"/>
      <c r="P343" s="186"/>
      <c r="Q343" s="186"/>
      <c r="R343" s="186"/>
      <c r="S343" s="186"/>
      <c r="T343" s="186"/>
      <c r="U343" s="186"/>
      <c r="V343" s="186"/>
      <c r="W343" s="186"/>
    </row>
    <row r="344" spans="1:27" ht="49.95" customHeight="1" x14ac:dyDescent="0.3">
      <c r="A344" s="66">
        <f t="shared" si="7"/>
        <v>931</v>
      </c>
      <c r="B344" s="59">
        <v>2021</v>
      </c>
      <c r="C344" s="59" t="s">
        <v>648</v>
      </c>
      <c r="D344" s="59" t="s">
        <v>665</v>
      </c>
      <c r="E344" s="86"/>
      <c r="F344" s="85" t="s">
        <v>1714</v>
      </c>
      <c r="G344" s="94"/>
      <c r="H344" s="186"/>
      <c r="I344" s="186"/>
      <c r="J344" s="186"/>
      <c r="K344" s="186"/>
      <c r="L344" s="186"/>
      <c r="M344" s="186"/>
      <c r="N344" s="186"/>
      <c r="O344" s="186"/>
      <c r="P344" s="186"/>
      <c r="Q344" s="186"/>
      <c r="R344" s="186"/>
      <c r="S344" s="186"/>
      <c r="T344" s="186"/>
      <c r="U344" s="186"/>
      <c r="V344" s="186"/>
      <c r="W344" s="186"/>
    </row>
    <row r="345" spans="1:27" ht="49.95" customHeight="1" x14ac:dyDescent="0.3">
      <c r="A345" s="66">
        <f t="shared" si="7"/>
        <v>932</v>
      </c>
      <c r="B345" s="59">
        <v>2016</v>
      </c>
      <c r="C345" s="59" t="s">
        <v>666</v>
      </c>
      <c r="D345" s="59" t="s">
        <v>667</v>
      </c>
      <c r="E345" s="86"/>
      <c r="F345" s="85" t="s">
        <v>145</v>
      </c>
      <c r="G345" s="94"/>
      <c r="H345" s="186"/>
      <c r="I345" s="186"/>
      <c r="J345" s="186"/>
      <c r="K345" s="186"/>
      <c r="L345" s="186"/>
      <c r="M345" s="186"/>
      <c r="N345" s="186"/>
      <c r="O345" s="186"/>
      <c r="P345" s="186"/>
      <c r="Q345" s="186"/>
      <c r="R345" s="186"/>
      <c r="S345" s="186"/>
      <c r="T345" s="186"/>
      <c r="U345" s="186"/>
      <c r="V345" s="186"/>
      <c r="W345" s="186"/>
    </row>
    <row r="346" spans="1:27" ht="49.95" customHeight="1" x14ac:dyDescent="0.3">
      <c r="A346" s="66">
        <f t="shared" si="7"/>
        <v>933</v>
      </c>
      <c r="B346" s="59">
        <v>2019</v>
      </c>
      <c r="C346" s="59" t="s">
        <v>668</v>
      </c>
      <c r="D346" s="59" t="s">
        <v>669</v>
      </c>
      <c r="E346" s="86"/>
      <c r="F346" s="85" t="s">
        <v>1714</v>
      </c>
      <c r="G346" s="94"/>
      <c r="H346" s="186"/>
      <c r="I346" s="186"/>
      <c r="J346" s="186"/>
      <c r="K346" s="186"/>
      <c r="L346" s="186"/>
      <c r="M346" s="186"/>
      <c r="N346" s="186"/>
      <c r="O346" s="186"/>
      <c r="P346" s="186"/>
      <c r="Q346" s="186"/>
      <c r="R346" s="186"/>
      <c r="S346" s="186"/>
      <c r="T346" s="186"/>
      <c r="U346" s="186"/>
      <c r="V346" s="186"/>
      <c r="W346" s="186"/>
    </row>
    <row r="347" spans="1:27" ht="49.95" customHeight="1" x14ac:dyDescent="0.3">
      <c r="A347" s="66">
        <f t="shared" si="7"/>
        <v>934</v>
      </c>
      <c r="B347" s="59">
        <v>2018</v>
      </c>
      <c r="C347" s="59" t="s">
        <v>670</v>
      </c>
      <c r="D347" s="59" t="s">
        <v>671</v>
      </c>
      <c r="E347" s="128" t="s">
        <v>672</v>
      </c>
      <c r="F347" s="129" t="s">
        <v>1722</v>
      </c>
      <c r="G347" s="94">
        <v>53</v>
      </c>
      <c r="H347" s="186"/>
      <c r="I347" s="186"/>
      <c r="J347" s="186"/>
      <c r="K347" s="186"/>
      <c r="L347" s="186"/>
      <c r="M347" s="186"/>
      <c r="N347" s="186"/>
      <c r="O347" s="186"/>
      <c r="P347" s="186"/>
      <c r="Q347" s="186"/>
      <c r="R347" s="186"/>
      <c r="S347" s="186"/>
      <c r="T347" s="186"/>
      <c r="U347" s="186"/>
      <c r="V347" s="186"/>
      <c r="W347" s="186"/>
      <c r="X347" s="186"/>
      <c r="Y347" s="186"/>
      <c r="Z347" s="186"/>
      <c r="AA347" s="186"/>
    </row>
    <row r="348" spans="1:27" ht="49.95" customHeight="1" x14ac:dyDescent="0.3">
      <c r="A348" s="66">
        <f t="shared" si="7"/>
        <v>935</v>
      </c>
      <c r="B348" s="59">
        <v>2016</v>
      </c>
      <c r="C348" s="59" t="s">
        <v>673</v>
      </c>
      <c r="D348" s="59" t="s">
        <v>674</v>
      </c>
      <c r="E348" s="26"/>
      <c r="F348" s="85" t="s">
        <v>254</v>
      </c>
      <c r="G348" s="114"/>
      <c r="H348" s="186"/>
      <c r="I348" s="186"/>
      <c r="J348" s="186"/>
      <c r="K348" s="186"/>
      <c r="L348" s="186"/>
      <c r="M348" s="186"/>
      <c r="N348" s="186"/>
      <c r="O348" s="186"/>
      <c r="P348" s="186"/>
      <c r="Q348" s="186"/>
      <c r="R348" s="186"/>
      <c r="S348" s="186"/>
      <c r="T348" s="186"/>
      <c r="U348" s="186"/>
      <c r="V348" s="186"/>
      <c r="W348" s="186"/>
      <c r="X348" s="186"/>
      <c r="Y348" s="186"/>
      <c r="Z348" s="186"/>
      <c r="AA348" s="186"/>
    </row>
    <row r="349" spans="1:27" ht="49.95" customHeight="1" x14ac:dyDescent="0.3">
      <c r="A349" s="66">
        <f t="shared" si="7"/>
        <v>936</v>
      </c>
      <c r="B349" s="59">
        <v>2019</v>
      </c>
      <c r="C349" s="59" t="s">
        <v>675</v>
      </c>
      <c r="D349" s="59" t="s">
        <v>676</v>
      </c>
      <c r="E349" s="86" t="s">
        <v>677</v>
      </c>
      <c r="F349" s="85" t="s">
        <v>49</v>
      </c>
      <c r="G349" s="94"/>
      <c r="H349" s="186"/>
      <c r="I349" s="186"/>
      <c r="J349" s="186"/>
      <c r="K349" s="186"/>
      <c r="L349" s="186"/>
      <c r="M349" s="186"/>
      <c r="N349" s="186"/>
      <c r="O349" s="186"/>
      <c r="P349" s="186"/>
      <c r="Q349" s="186"/>
      <c r="R349" s="186"/>
      <c r="S349" s="186"/>
      <c r="T349" s="186"/>
      <c r="U349" s="186"/>
      <c r="V349" s="186"/>
      <c r="W349" s="186"/>
      <c r="X349" s="186"/>
      <c r="Y349" s="186"/>
      <c r="Z349" s="186"/>
      <c r="AA349" s="186"/>
    </row>
    <row r="350" spans="1:27" ht="23.4" x14ac:dyDescent="0.45">
      <c r="A350" s="44" t="s">
        <v>0</v>
      </c>
      <c r="B350" s="44" t="s">
        <v>1</v>
      </c>
      <c r="C350" s="44" t="s">
        <v>2</v>
      </c>
      <c r="D350" s="45" t="s">
        <v>3</v>
      </c>
      <c r="E350" s="45" t="s">
        <v>4</v>
      </c>
      <c r="F350" s="46" t="s">
        <v>5</v>
      </c>
      <c r="G350" s="47"/>
      <c r="H350" s="185"/>
      <c r="I350" s="185"/>
      <c r="J350" s="185"/>
      <c r="K350" s="187"/>
      <c r="L350" s="188"/>
      <c r="M350" s="189"/>
      <c r="N350" s="188"/>
      <c r="O350" s="185"/>
      <c r="P350" s="189"/>
      <c r="Q350" s="186"/>
      <c r="R350" s="186"/>
      <c r="S350" s="186"/>
      <c r="T350" s="186"/>
      <c r="U350" s="186"/>
      <c r="V350" s="186"/>
      <c r="W350" s="186"/>
      <c r="X350" s="186"/>
      <c r="Y350" s="186"/>
      <c r="Z350" s="186"/>
      <c r="AA350" s="186"/>
    </row>
    <row r="351" spans="1:27" ht="46.8" x14ac:dyDescent="0.45">
      <c r="A351" s="49">
        <v>99</v>
      </c>
      <c r="B351" s="50">
        <v>2025</v>
      </c>
      <c r="C351" s="50" t="s">
        <v>678</v>
      </c>
      <c r="D351" s="50" t="s">
        <v>679</v>
      </c>
      <c r="E351" s="111" t="s">
        <v>680</v>
      </c>
      <c r="F351" s="112" t="s">
        <v>681</v>
      </c>
      <c r="G351" s="54"/>
      <c r="H351" s="185"/>
      <c r="I351" s="185"/>
      <c r="J351" s="185"/>
      <c r="K351" s="187"/>
      <c r="L351" s="188"/>
      <c r="M351" s="189"/>
      <c r="N351" s="188"/>
      <c r="O351" s="185"/>
      <c r="P351" s="189"/>
      <c r="Q351" s="186"/>
      <c r="R351" s="186"/>
      <c r="S351" s="186"/>
      <c r="T351" s="186"/>
      <c r="U351" s="186"/>
      <c r="V351" s="186"/>
      <c r="W351" s="186"/>
      <c r="X351" s="186"/>
      <c r="Y351" s="186"/>
      <c r="Z351" s="186"/>
      <c r="AA351" s="186"/>
    </row>
    <row r="352" spans="1:27" s="4" customFormat="1" ht="100.2" customHeight="1" x14ac:dyDescent="0.45">
      <c r="A352" s="208" t="s">
        <v>10</v>
      </c>
      <c r="B352" s="209"/>
      <c r="C352" s="209"/>
      <c r="D352" s="209"/>
      <c r="E352" s="210"/>
      <c r="F352" s="205" t="s">
        <v>1733</v>
      </c>
      <c r="G352" s="200"/>
      <c r="H352" s="183"/>
      <c r="I352" s="184"/>
      <c r="J352" s="184"/>
      <c r="K352" s="184"/>
      <c r="L352" s="184"/>
      <c r="M352" s="184"/>
      <c r="N352" s="184"/>
      <c r="O352" s="184"/>
      <c r="P352" s="184"/>
      <c r="Q352" s="184"/>
      <c r="R352" s="184"/>
      <c r="S352" s="184"/>
      <c r="T352" s="184"/>
      <c r="U352" s="184"/>
      <c r="V352" s="184"/>
      <c r="W352" s="184"/>
      <c r="X352" s="184"/>
      <c r="Y352" s="184"/>
      <c r="Z352" s="184"/>
      <c r="AA352" s="184"/>
    </row>
    <row r="353" spans="1:27" s="9" customFormat="1" ht="100.2" customHeight="1" x14ac:dyDescent="0.45">
      <c r="A353" s="208"/>
      <c r="B353" s="209"/>
      <c r="C353" s="209"/>
      <c r="D353" s="209"/>
      <c r="E353" s="210"/>
      <c r="F353" s="206"/>
      <c r="G353" s="202"/>
      <c r="H353" s="183"/>
      <c r="I353" s="184"/>
      <c r="J353" s="184"/>
      <c r="K353" s="184"/>
      <c r="L353" s="184"/>
      <c r="M353" s="184"/>
      <c r="N353" s="184"/>
      <c r="O353" s="184"/>
      <c r="P353" s="184"/>
      <c r="Q353" s="184"/>
      <c r="R353" s="184"/>
      <c r="S353" s="184"/>
      <c r="T353" s="184"/>
      <c r="U353" s="184"/>
      <c r="V353" s="184"/>
      <c r="W353" s="184"/>
      <c r="X353" s="184"/>
      <c r="Y353" s="184"/>
      <c r="Z353" s="184"/>
      <c r="AA353" s="184"/>
    </row>
    <row r="354" spans="1:27" s="4" customFormat="1" ht="30" customHeight="1" x14ac:dyDescent="0.45">
      <c r="A354" s="208"/>
      <c r="B354" s="209"/>
      <c r="C354" s="209"/>
      <c r="D354" s="209"/>
      <c r="E354" s="210"/>
      <c r="F354" s="207"/>
      <c r="G354" s="204"/>
      <c r="H354" s="183"/>
      <c r="I354" s="184"/>
      <c r="J354" s="184"/>
      <c r="K354" s="184"/>
      <c r="L354" s="184"/>
      <c r="M354" s="184"/>
      <c r="N354" s="184"/>
      <c r="O354" s="184"/>
      <c r="P354" s="184"/>
      <c r="Q354" s="184"/>
      <c r="R354" s="184"/>
      <c r="S354" s="184"/>
      <c r="T354" s="184"/>
      <c r="U354" s="184"/>
      <c r="V354" s="184"/>
      <c r="W354" s="184"/>
      <c r="X354" s="184"/>
      <c r="Y354" s="184"/>
      <c r="Z354" s="184"/>
      <c r="AA354" s="184"/>
    </row>
    <row r="355" spans="1:27" s="9" customFormat="1" ht="100.2" customHeight="1" x14ac:dyDescent="0.45">
      <c r="A355" s="56" t="s">
        <v>12</v>
      </c>
      <c r="B355" s="55" t="s">
        <v>13</v>
      </c>
      <c r="C355" s="55" t="s">
        <v>14</v>
      </c>
      <c r="D355" s="55" t="s">
        <v>15</v>
      </c>
      <c r="E355" s="57" t="s">
        <v>16</v>
      </c>
      <c r="F355" s="56" t="s">
        <v>1735</v>
      </c>
      <c r="G355" s="55" t="s">
        <v>1737</v>
      </c>
      <c r="H355" s="184"/>
      <c r="I355" s="184"/>
      <c r="J355" s="184"/>
      <c r="K355" s="184"/>
      <c r="L355" s="184"/>
      <c r="M355" s="184"/>
      <c r="N355" s="184"/>
      <c r="O355" s="184"/>
      <c r="P355" s="184"/>
      <c r="Q355" s="184"/>
      <c r="R355" s="184"/>
      <c r="S355" s="184"/>
      <c r="T355" s="184"/>
      <c r="U355" s="184"/>
      <c r="V355" s="184"/>
      <c r="W355" s="184"/>
      <c r="X355" s="184"/>
      <c r="Y355" s="184"/>
      <c r="Z355" s="184"/>
      <c r="AA355" s="184"/>
    </row>
    <row r="356" spans="1:27" s="75" customFormat="1" ht="49.95" customHeight="1" x14ac:dyDescent="0.3">
      <c r="A356" s="66">
        <f>SUM(A349,1)</f>
        <v>937</v>
      </c>
      <c r="B356" s="59" t="s">
        <v>216</v>
      </c>
      <c r="C356" s="59" t="s">
        <v>682</v>
      </c>
      <c r="D356" s="113" t="s">
        <v>683</v>
      </c>
      <c r="E356" s="26"/>
      <c r="F356" s="85" t="s">
        <v>145</v>
      </c>
      <c r="G356" s="114"/>
    </row>
    <row r="357" spans="1:27" s="75" customFormat="1" ht="49.95" customHeight="1" x14ac:dyDescent="0.3">
      <c r="A357" s="66">
        <f>SUM(A356,1)</f>
        <v>938</v>
      </c>
      <c r="B357" s="59">
        <v>1987</v>
      </c>
      <c r="C357" s="59" t="s">
        <v>684</v>
      </c>
      <c r="D357" s="113" t="s">
        <v>685</v>
      </c>
      <c r="E357" s="26"/>
      <c r="F357" s="85" t="s">
        <v>67</v>
      </c>
      <c r="G357" s="114"/>
    </row>
    <row r="358" spans="1:27" s="75" customFormat="1" ht="49.95" customHeight="1" x14ac:dyDescent="0.3">
      <c r="A358" s="66">
        <f t="shared" ref="A358:A363" si="8">SUM(A357,1)</f>
        <v>939</v>
      </c>
      <c r="B358" s="59">
        <v>2015</v>
      </c>
      <c r="C358" s="59" t="s">
        <v>686</v>
      </c>
      <c r="D358" s="113" t="s">
        <v>687</v>
      </c>
      <c r="E358" s="26"/>
      <c r="F358" s="85" t="s">
        <v>67</v>
      </c>
      <c r="G358" s="114"/>
    </row>
    <row r="359" spans="1:27" s="75" customFormat="1" ht="49.95" customHeight="1" x14ac:dyDescent="0.3">
      <c r="A359" s="66">
        <f t="shared" si="8"/>
        <v>940</v>
      </c>
      <c r="B359" s="59">
        <v>2021</v>
      </c>
      <c r="C359" s="59" t="s">
        <v>569</v>
      </c>
      <c r="D359" s="113" t="s">
        <v>688</v>
      </c>
      <c r="E359" s="26"/>
      <c r="F359" s="85" t="s">
        <v>145</v>
      </c>
      <c r="G359" s="114"/>
    </row>
    <row r="360" spans="1:27" s="75" customFormat="1" ht="49.95" customHeight="1" x14ac:dyDescent="0.3">
      <c r="A360" s="66">
        <f t="shared" si="8"/>
        <v>941</v>
      </c>
      <c r="B360" s="59">
        <v>1990</v>
      </c>
      <c r="C360" s="59" t="s">
        <v>689</v>
      </c>
      <c r="D360" s="113" t="s">
        <v>690</v>
      </c>
      <c r="E360" s="26"/>
      <c r="F360" s="85" t="s">
        <v>67</v>
      </c>
      <c r="G360" s="114"/>
    </row>
    <row r="361" spans="1:27" s="75" customFormat="1" ht="49.95" customHeight="1" x14ac:dyDescent="0.3">
      <c r="A361" s="66">
        <f t="shared" si="8"/>
        <v>942</v>
      </c>
      <c r="B361" s="59">
        <v>1981</v>
      </c>
      <c r="C361" s="59" t="s">
        <v>691</v>
      </c>
      <c r="D361" s="113" t="s">
        <v>692</v>
      </c>
      <c r="E361" s="26"/>
      <c r="F361" s="85" t="s">
        <v>67</v>
      </c>
      <c r="G361" s="114"/>
    </row>
    <row r="362" spans="1:27" s="75" customFormat="1" ht="49.95" customHeight="1" x14ac:dyDescent="0.3">
      <c r="A362" s="66">
        <f t="shared" si="8"/>
        <v>943</v>
      </c>
      <c r="B362" s="59" t="s">
        <v>216</v>
      </c>
      <c r="C362" s="59" t="s">
        <v>693</v>
      </c>
      <c r="D362" s="113" t="s">
        <v>693</v>
      </c>
      <c r="E362" s="26"/>
      <c r="F362" s="85" t="s">
        <v>145</v>
      </c>
      <c r="G362" s="114"/>
    </row>
    <row r="363" spans="1:27" s="75" customFormat="1" ht="49.95" customHeight="1" x14ac:dyDescent="0.3">
      <c r="A363" s="66">
        <f t="shared" si="8"/>
        <v>944</v>
      </c>
      <c r="B363" s="59" t="s">
        <v>216</v>
      </c>
      <c r="C363" s="59" t="s">
        <v>694</v>
      </c>
      <c r="D363" s="113" t="s">
        <v>695</v>
      </c>
      <c r="E363" s="26"/>
      <c r="F363" s="85" t="s">
        <v>145</v>
      </c>
      <c r="G363" s="114"/>
    </row>
    <row r="364" spans="1:27" ht="23.4" x14ac:dyDescent="0.45">
      <c r="A364" s="44" t="s">
        <v>0</v>
      </c>
      <c r="B364" s="44" t="s">
        <v>1</v>
      </c>
      <c r="C364" s="44" t="s">
        <v>2</v>
      </c>
      <c r="D364" s="45" t="s">
        <v>3</v>
      </c>
      <c r="E364" s="45" t="s">
        <v>4</v>
      </c>
      <c r="F364" s="46" t="s">
        <v>5</v>
      </c>
      <c r="G364" s="47"/>
      <c r="H364" s="185"/>
      <c r="I364" s="185"/>
      <c r="J364" s="185"/>
      <c r="K364" s="187"/>
      <c r="L364" s="188"/>
      <c r="M364" s="189"/>
      <c r="N364" s="188"/>
      <c r="O364" s="185"/>
      <c r="P364" s="189"/>
      <c r="Q364" s="186"/>
      <c r="R364" s="186"/>
      <c r="S364" s="186"/>
      <c r="T364" s="186"/>
      <c r="U364" s="186"/>
      <c r="V364" s="186"/>
      <c r="W364" s="186"/>
    </row>
    <row r="365" spans="1:27" ht="70.2" x14ac:dyDescent="0.45">
      <c r="A365" s="49">
        <v>152</v>
      </c>
      <c r="B365" s="50">
        <v>2018</v>
      </c>
      <c r="C365" s="50" t="s">
        <v>696</v>
      </c>
      <c r="D365" s="50" t="s">
        <v>697</v>
      </c>
      <c r="E365" s="111" t="s">
        <v>698</v>
      </c>
      <c r="F365" s="112" t="s">
        <v>699</v>
      </c>
      <c r="G365" s="54"/>
      <c r="H365" s="185"/>
      <c r="I365" s="185"/>
      <c r="J365" s="185"/>
      <c r="K365" s="187"/>
      <c r="L365" s="188"/>
      <c r="M365" s="189"/>
      <c r="N365" s="188"/>
      <c r="O365" s="185"/>
      <c r="P365" s="189"/>
      <c r="Q365" s="186"/>
      <c r="R365" s="186"/>
      <c r="S365" s="186"/>
      <c r="T365" s="186"/>
      <c r="U365" s="186"/>
      <c r="V365" s="186"/>
      <c r="W365" s="186"/>
    </row>
    <row r="366" spans="1:27" s="4" customFormat="1" ht="100.2" customHeight="1" x14ac:dyDescent="0.45">
      <c r="A366" s="208" t="s">
        <v>10</v>
      </c>
      <c r="B366" s="209"/>
      <c r="C366" s="209"/>
      <c r="D366" s="209"/>
      <c r="E366" s="210"/>
      <c r="F366" s="205" t="s">
        <v>1733</v>
      </c>
      <c r="G366" s="200"/>
      <c r="H366" s="183"/>
      <c r="I366" s="184"/>
      <c r="J366" s="184"/>
      <c r="K366" s="184"/>
      <c r="L366" s="184"/>
      <c r="M366" s="184"/>
      <c r="N366" s="184"/>
      <c r="O366" s="184"/>
      <c r="P366" s="184"/>
      <c r="Q366" s="184"/>
      <c r="R366" s="184"/>
      <c r="S366" s="184"/>
      <c r="T366" s="184"/>
      <c r="U366" s="184"/>
      <c r="V366" s="184"/>
      <c r="W366" s="184"/>
    </row>
    <row r="367" spans="1:27" s="9" customFormat="1" ht="100.2" customHeight="1" x14ac:dyDescent="0.45">
      <c r="A367" s="208"/>
      <c r="B367" s="209"/>
      <c r="C367" s="209"/>
      <c r="D367" s="209"/>
      <c r="E367" s="210"/>
      <c r="F367" s="206"/>
      <c r="G367" s="202"/>
      <c r="H367" s="183"/>
      <c r="I367" s="184"/>
      <c r="J367" s="184"/>
      <c r="K367" s="184"/>
      <c r="L367" s="184"/>
      <c r="M367" s="184"/>
      <c r="N367" s="184"/>
      <c r="O367" s="184"/>
      <c r="P367" s="184"/>
      <c r="Q367" s="184"/>
      <c r="R367" s="184"/>
      <c r="S367" s="184"/>
      <c r="T367" s="184"/>
      <c r="U367" s="184"/>
      <c r="V367" s="184"/>
      <c r="W367" s="184"/>
    </row>
    <row r="368" spans="1:27" s="4" customFormat="1" ht="30" customHeight="1" x14ac:dyDescent="0.45">
      <c r="A368" s="208"/>
      <c r="B368" s="209"/>
      <c r="C368" s="209"/>
      <c r="D368" s="209"/>
      <c r="E368" s="210"/>
      <c r="F368" s="207"/>
      <c r="G368" s="204"/>
      <c r="H368" s="183"/>
      <c r="I368" s="184"/>
      <c r="J368" s="184"/>
      <c r="K368" s="184"/>
      <c r="L368" s="184"/>
      <c r="M368" s="184"/>
      <c r="N368" s="184"/>
      <c r="O368" s="184"/>
      <c r="P368" s="184"/>
      <c r="Q368" s="184"/>
      <c r="R368" s="184"/>
      <c r="S368" s="184"/>
      <c r="T368" s="184"/>
      <c r="U368" s="184"/>
      <c r="V368" s="184"/>
      <c r="W368" s="184"/>
    </row>
    <row r="369" spans="1:23" s="9" customFormat="1" ht="100.2" customHeight="1" x14ac:dyDescent="0.45">
      <c r="A369" s="56" t="s">
        <v>12</v>
      </c>
      <c r="B369" s="55" t="s">
        <v>13</v>
      </c>
      <c r="C369" s="55" t="s">
        <v>14</v>
      </c>
      <c r="D369" s="55" t="s">
        <v>15</v>
      </c>
      <c r="E369" s="57" t="s">
        <v>16</v>
      </c>
      <c r="F369" s="56" t="s">
        <v>1735</v>
      </c>
      <c r="G369" s="55" t="s">
        <v>1737</v>
      </c>
      <c r="H369" s="184"/>
      <c r="I369" s="184"/>
      <c r="J369" s="184"/>
      <c r="K369" s="184"/>
      <c r="L369" s="184"/>
      <c r="M369" s="184"/>
      <c r="N369" s="184"/>
      <c r="O369" s="184"/>
      <c r="P369" s="184"/>
      <c r="Q369" s="184"/>
      <c r="R369" s="184"/>
      <c r="S369" s="184"/>
      <c r="T369" s="184"/>
      <c r="U369" s="184"/>
      <c r="V369" s="184"/>
      <c r="W369" s="184"/>
    </row>
    <row r="370" spans="1:23" s="75" customFormat="1" ht="49.95" customHeight="1" x14ac:dyDescent="0.3">
      <c r="A370" s="66">
        <f>SUM(A363,1)</f>
        <v>945</v>
      </c>
      <c r="B370" s="59">
        <v>2013</v>
      </c>
      <c r="C370" s="59" t="s">
        <v>700</v>
      </c>
      <c r="D370" s="113" t="s">
        <v>701</v>
      </c>
      <c r="E370" s="26"/>
      <c r="F370" s="85" t="s">
        <v>67</v>
      </c>
      <c r="G370" s="114"/>
    </row>
    <row r="371" spans="1:23" s="75" customFormat="1" ht="49.95" customHeight="1" x14ac:dyDescent="0.3">
      <c r="A371" s="66">
        <f>SUM(A370,1)</f>
        <v>946</v>
      </c>
      <c r="B371" s="59">
        <v>2015</v>
      </c>
      <c r="C371" s="59" t="s">
        <v>702</v>
      </c>
      <c r="D371" s="113" t="s">
        <v>703</v>
      </c>
      <c r="E371" s="26"/>
      <c r="F371" s="85" t="s">
        <v>184</v>
      </c>
      <c r="G371" s="114"/>
    </row>
    <row r="372" spans="1:23" s="75" customFormat="1" ht="49.95" customHeight="1" x14ac:dyDescent="0.3">
      <c r="A372" s="66">
        <f t="shared" ref="A372:A429" si="9">SUM(A371,1)</f>
        <v>947</v>
      </c>
      <c r="B372" s="59">
        <v>1984</v>
      </c>
      <c r="C372" s="59" t="s">
        <v>704</v>
      </c>
      <c r="D372" s="113" t="s">
        <v>705</v>
      </c>
      <c r="E372" s="26"/>
      <c r="F372" s="85" t="s">
        <v>67</v>
      </c>
      <c r="G372" s="114"/>
    </row>
    <row r="373" spans="1:23" s="75" customFormat="1" ht="49.95" customHeight="1" x14ac:dyDescent="0.3">
      <c r="A373" s="66">
        <f t="shared" si="9"/>
        <v>948</v>
      </c>
      <c r="B373" s="59">
        <v>2011</v>
      </c>
      <c r="C373" s="59" t="s">
        <v>706</v>
      </c>
      <c r="D373" s="113" t="s">
        <v>707</v>
      </c>
      <c r="E373" s="26"/>
      <c r="F373" s="85" t="s">
        <v>67</v>
      </c>
      <c r="G373" s="114"/>
    </row>
    <row r="374" spans="1:23" s="75" customFormat="1" ht="49.95" customHeight="1" x14ac:dyDescent="0.3">
      <c r="A374" s="66">
        <f t="shared" si="9"/>
        <v>949</v>
      </c>
      <c r="B374" s="59">
        <v>2017</v>
      </c>
      <c r="C374" s="59" t="s">
        <v>708</v>
      </c>
      <c r="D374" s="113" t="s">
        <v>709</v>
      </c>
      <c r="E374" s="26"/>
      <c r="F374" s="85" t="s">
        <v>184</v>
      </c>
      <c r="G374" s="114"/>
    </row>
    <row r="375" spans="1:23" s="75" customFormat="1" ht="49.95" customHeight="1" x14ac:dyDescent="0.3">
      <c r="A375" s="66">
        <f t="shared" si="9"/>
        <v>950</v>
      </c>
      <c r="B375" s="59">
        <v>2008</v>
      </c>
      <c r="C375" s="59" t="s">
        <v>706</v>
      </c>
      <c r="D375" s="113" t="s">
        <v>710</v>
      </c>
      <c r="E375" s="26"/>
      <c r="F375" s="85" t="s">
        <v>67</v>
      </c>
      <c r="G375" s="114"/>
    </row>
    <row r="376" spans="1:23" s="75" customFormat="1" ht="49.95" customHeight="1" x14ac:dyDescent="0.3">
      <c r="A376" s="66">
        <f t="shared" si="9"/>
        <v>951</v>
      </c>
      <c r="B376" s="59">
        <v>2010</v>
      </c>
      <c r="C376" s="59" t="s">
        <v>398</v>
      </c>
      <c r="D376" s="113" t="s">
        <v>711</v>
      </c>
      <c r="E376" s="26"/>
      <c r="F376" s="85" t="s">
        <v>67</v>
      </c>
      <c r="G376" s="114"/>
    </row>
    <row r="377" spans="1:23" s="131" customFormat="1" ht="49.95" customHeight="1" x14ac:dyDescent="0.3">
      <c r="A377" s="66">
        <f t="shared" si="9"/>
        <v>952</v>
      </c>
      <c r="B377" s="59">
        <v>2015</v>
      </c>
      <c r="C377" s="59" t="s">
        <v>712</v>
      </c>
      <c r="D377" s="113" t="s">
        <v>713</v>
      </c>
      <c r="E377" s="26"/>
      <c r="F377" s="130"/>
      <c r="G377" s="43" t="s">
        <v>127</v>
      </c>
    </row>
    <row r="378" spans="1:23" s="131" customFormat="1" ht="49.95" customHeight="1" x14ac:dyDescent="0.3">
      <c r="A378" s="66">
        <f t="shared" si="9"/>
        <v>953</v>
      </c>
      <c r="B378" s="59">
        <v>2007</v>
      </c>
      <c r="C378" s="59" t="s">
        <v>714</v>
      </c>
      <c r="D378" s="113" t="s">
        <v>715</v>
      </c>
      <c r="E378" s="26"/>
      <c r="F378" s="85" t="s">
        <v>67</v>
      </c>
      <c r="G378" s="114"/>
    </row>
    <row r="379" spans="1:23" s="131" customFormat="1" ht="49.95" customHeight="1" x14ac:dyDescent="0.3">
      <c r="A379" s="66">
        <f t="shared" si="9"/>
        <v>954</v>
      </c>
      <c r="B379" s="59">
        <v>2002</v>
      </c>
      <c r="C379" s="59" t="s">
        <v>716</v>
      </c>
      <c r="D379" s="113" t="s">
        <v>717</v>
      </c>
      <c r="E379" s="26"/>
      <c r="F379" s="85" t="s">
        <v>67</v>
      </c>
      <c r="G379" s="114"/>
    </row>
    <row r="380" spans="1:23" s="131" customFormat="1" ht="49.95" customHeight="1" x14ac:dyDescent="0.3">
      <c r="A380" s="66">
        <f t="shared" si="9"/>
        <v>955</v>
      </c>
      <c r="B380" s="59">
        <v>1992</v>
      </c>
      <c r="C380" s="59" t="s">
        <v>718</v>
      </c>
      <c r="D380" s="113" t="s">
        <v>719</v>
      </c>
      <c r="E380" s="26"/>
      <c r="F380" s="85" t="s">
        <v>67</v>
      </c>
      <c r="G380" s="114"/>
    </row>
    <row r="381" spans="1:23" s="131" customFormat="1" ht="49.95" customHeight="1" x14ac:dyDescent="0.3">
      <c r="A381" s="66">
        <f t="shared" si="9"/>
        <v>956</v>
      </c>
      <c r="B381" s="59">
        <v>2016</v>
      </c>
      <c r="C381" s="59" t="s">
        <v>27</v>
      </c>
      <c r="D381" s="113" t="s">
        <v>720</v>
      </c>
      <c r="E381" s="26"/>
      <c r="F381" s="85" t="s">
        <v>184</v>
      </c>
      <c r="G381" s="114"/>
    </row>
    <row r="382" spans="1:23" s="131" customFormat="1" ht="49.95" customHeight="1" x14ac:dyDescent="0.3">
      <c r="A382" s="66">
        <f t="shared" si="9"/>
        <v>957</v>
      </c>
      <c r="B382" s="59">
        <v>2014</v>
      </c>
      <c r="C382" s="59" t="s">
        <v>65</v>
      </c>
      <c r="D382" s="113" t="s">
        <v>721</v>
      </c>
      <c r="E382" s="26"/>
      <c r="F382" s="85" t="s">
        <v>67</v>
      </c>
      <c r="G382" s="114"/>
    </row>
    <row r="383" spans="1:23" s="131" customFormat="1" ht="49.95" customHeight="1" x14ac:dyDescent="0.3">
      <c r="A383" s="66">
        <f t="shared" si="9"/>
        <v>958</v>
      </c>
      <c r="B383" s="59">
        <v>2017</v>
      </c>
      <c r="C383" s="59" t="s">
        <v>71</v>
      </c>
      <c r="D383" s="113" t="s">
        <v>722</v>
      </c>
      <c r="E383" s="26"/>
      <c r="F383" s="85" t="s">
        <v>184</v>
      </c>
      <c r="G383" s="114"/>
    </row>
    <row r="384" spans="1:23" s="131" customFormat="1" ht="49.95" customHeight="1" x14ac:dyDescent="0.3">
      <c r="A384" s="66">
        <f t="shared" si="9"/>
        <v>959</v>
      </c>
      <c r="B384" s="59">
        <v>1983</v>
      </c>
      <c r="C384" s="59" t="s">
        <v>723</v>
      </c>
      <c r="D384" s="113" t="s">
        <v>724</v>
      </c>
      <c r="E384" s="26"/>
      <c r="F384" s="85" t="s">
        <v>67</v>
      </c>
      <c r="G384" s="114"/>
    </row>
    <row r="385" spans="1:7" s="131" customFormat="1" ht="49.95" customHeight="1" x14ac:dyDescent="0.3">
      <c r="A385" s="66">
        <f t="shared" si="9"/>
        <v>960</v>
      </c>
      <c r="B385" s="59">
        <v>1973</v>
      </c>
      <c r="C385" s="59" t="s">
        <v>725</v>
      </c>
      <c r="D385" s="113" t="s">
        <v>726</v>
      </c>
      <c r="E385" s="26"/>
      <c r="F385" s="85" t="s">
        <v>67</v>
      </c>
      <c r="G385" s="114"/>
    </row>
    <row r="386" spans="1:7" s="131" customFormat="1" ht="49.95" customHeight="1" x14ac:dyDescent="0.3">
      <c r="A386" s="66">
        <f t="shared" si="9"/>
        <v>961</v>
      </c>
      <c r="B386" s="59" t="s">
        <v>216</v>
      </c>
      <c r="C386" s="59" t="s">
        <v>727</v>
      </c>
      <c r="D386" s="113" t="s">
        <v>728</v>
      </c>
      <c r="E386" s="26"/>
      <c r="F386" s="85" t="s">
        <v>145</v>
      </c>
      <c r="G386" s="114"/>
    </row>
    <row r="387" spans="1:7" s="131" customFormat="1" ht="49.95" customHeight="1" x14ac:dyDescent="0.3">
      <c r="A387" s="66">
        <f t="shared" si="9"/>
        <v>962</v>
      </c>
      <c r="B387" s="59">
        <v>2009</v>
      </c>
      <c r="C387" s="59" t="s">
        <v>729</v>
      </c>
      <c r="D387" s="113" t="s">
        <v>730</v>
      </c>
      <c r="E387" s="26"/>
      <c r="F387" s="85" t="s">
        <v>67</v>
      </c>
      <c r="G387" s="114"/>
    </row>
    <row r="388" spans="1:7" s="131" customFormat="1" ht="49.95" customHeight="1" x14ac:dyDescent="0.3">
      <c r="A388" s="66">
        <f t="shared" si="9"/>
        <v>963</v>
      </c>
      <c r="B388" s="59">
        <v>1999</v>
      </c>
      <c r="C388" s="59" t="s">
        <v>731</v>
      </c>
      <c r="D388" s="113" t="s">
        <v>732</v>
      </c>
      <c r="E388" s="26"/>
      <c r="F388" s="85" t="s">
        <v>67</v>
      </c>
      <c r="G388" s="114"/>
    </row>
    <row r="389" spans="1:7" s="131" customFormat="1" ht="49.95" customHeight="1" x14ac:dyDescent="0.3">
      <c r="A389" s="66">
        <f t="shared" si="9"/>
        <v>964</v>
      </c>
      <c r="B389" s="59">
        <v>1994</v>
      </c>
      <c r="C389" s="59" t="s">
        <v>733</v>
      </c>
      <c r="D389" s="113" t="s">
        <v>734</v>
      </c>
      <c r="E389" s="26"/>
      <c r="F389" s="85" t="s">
        <v>67</v>
      </c>
      <c r="G389" s="114"/>
    </row>
    <row r="390" spans="1:7" s="131" customFormat="1" ht="49.95" customHeight="1" x14ac:dyDescent="0.3">
      <c r="A390" s="66">
        <f t="shared" si="9"/>
        <v>965</v>
      </c>
      <c r="B390" s="59">
        <v>1996</v>
      </c>
      <c r="C390" s="59" t="s">
        <v>735</v>
      </c>
      <c r="D390" s="113" t="s">
        <v>736</v>
      </c>
      <c r="E390" s="26"/>
      <c r="F390" s="85" t="s">
        <v>67</v>
      </c>
      <c r="G390" s="114"/>
    </row>
    <row r="391" spans="1:7" s="131" customFormat="1" ht="49.95" customHeight="1" x14ac:dyDescent="0.3">
      <c r="A391" s="66">
        <f t="shared" si="9"/>
        <v>966</v>
      </c>
      <c r="B391" s="59">
        <v>2003</v>
      </c>
      <c r="C391" s="59" t="s">
        <v>101</v>
      </c>
      <c r="D391" s="113" t="s">
        <v>608</v>
      </c>
      <c r="E391" s="26"/>
      <c r="F391" s="85" t="s">
        <v>67</v>
      </c>
      <c r="G391" s="114"/>
    </row>
    <row r="392" spans="1:7" s="131" customFormat="1" ht="49.95" customHeight="1" x14ac:dyDescent="0.3">
      <c r="A392" s="66">
        <f t="shared" si="9"/>
        <v>967</v>
      </c>
      <c r="B392" s="59">
        <v>2006</v>
      </c>
      <c r="C392" s="59" t="s">
        <v>737</v>
      </c>
      <c r="D392" s="113" t="s">
        <v>738</v>
      </c>
      <c r="E392" s="26"/>
      <c r="F392" s="85" t="s">
        <v>67</v>
      </c>
      <c r="G392" s="114"/>
    </row>
    <row r="393" spans="1:7" s="131" customFormat="1" ht="49.95" customHeight="1" x14ac:dyDescent="0.3">
      <c r="A393" s="66">
        <f t="shared" si="9"/>
        <v>968</v>
      </c>
      <c r="B393" s="59">
        <v>2015</v>
      </c>
      <c r="C393" s="59" t="s">
        <v>739</v>
      </c>
      <c r="D393" s="113" t="s">
        <v>740</v>
      </c>
      <c r="E393" s="26"/>
      <c r="F393" s="130"/>
      <c r="G393" s="43" t="s">
        <v>127</v>
      </c>
    </row>
    <row r="394" spans="1:7" s="131" customFormat="1" ht="49.95" customHeight="1" x14ac:dyDescent="0.3">
      <c r="A394" s="66">
        <f t="shared" si="9"/>
        <v>969</v>
      </c>
      <c r="B394" s="59">
        <v>2001</v>
      </c>
      <c r="C394" s="59" t="s">
        <v>741</v>
      </c>
      <c r="D394" s="113" t="s">
        <v>742</v>
      </c>
      <c r="E394" s="26"/>
      <c r="F394" s="85" t="s">
        <v>67</v>
      </c>
      <c r="G394" s="114"/>
    </row>
    <row r="395" spans="1:7" s="131" customFormat="1" ht="49.95" customHeight="1" x14ac:dyDescent="0.3">
      <c r="A395" s="66">
        <f t="shared" si="9"/>
        <v>970</v>
      </c>
      <c r="B395" s="59">
        <v>2003</v>
      </c>
      <c r="C395" s="59" t="s">
        <v>238</v>
      </c>
      <c r="D395" s="113" t="s">
        <v>743</v>
      </c>
      <c r="E395" s="26"/>
      <c r="F395" s="85" t="s">
        <v>67</v>
      </c>
      <c r="G395" s="114"/>
    </row>
    <row r="396" spans="1:7" s="131" customFormat="1" ht="49.95" customHeight="1" x14ac:dyDescent="0.3">
      <c r="A396" s="66">
        <f t="shared" si="9"/>
        <v>971</v>
      </c>
      <c r="B396" s="59" t="s">
        <v>216</v>
      </c>
      <c r="C396" s="59" t="s">
        <v>744</v>
      </c>
      <c r="D396" s="113" t="s">
        <v>745</v>
      </c>
      <c r="E396" s="26"/>
      <c r="F396" s="85" t="s">
        <v>145</v>
      </c>
      <c r="G396" s="114"/>
    </row>
    <row r="397" spans="1:7" s="131" customFormat="1" ht="49.95" customHeight="1" x14ac:dyDescent="0.3">
      <c r="A397" s="66">
        <f t="shared" si="9"/>
        <v>972</v>
      </c>
      <c r="B397" s="59" t="s">
        <v>216</v>
      </c>
      <c r="C397" s="59" t="s">
        <v>746</v>
      </c>
      <c r="D397" s="113" t="s">
        <v>746</v>
      </c>
      <c r="E397" s="26"/>
      <c r="F397" s="85" t="s">
        <v>145</v>
      </c>
      <c r="G397" s="114"/>
    </row>
    <row r="398" spans="1:7" s="131" customFormat="1" ht="49.95" customHeight="1" x14ac:dyDescent="0.3">
      <c r="A398" s="66">
        <f t="shared" si="9"/>
        <v>973</v>
      </c>
      <c r="B398" s="59" t="s">
        <v>216</v>
      </c>
      <c r="C398" s="59" t="s">
        <v>747</v>
      </c>
      <c r="D398" s="113" t="s">
        <v>748</v>
      </c>
      <c r="E398" s="26"/>
      <c r="F398" s="85" t="s">
        <v>145</v>
      </c>
      <c r="G398" s="114"/>
    </row>
    <row r="399" spans="1:7" s="131" customFormat="1" ht="49.95" customHeight="1" x14ac:dyDescent="0.3">
      <c r="A399" s="66">
        <f t="shared" si="9"/>
        <v>974</v>
      </c>
      <c r="B399" s="59" t="s">
        <v>216</v>
      </c>
      <c r="C399" s="59" t="s">
        <v>749</v>
      </c>
      <c r="D399" s="113" t="s">
        <v>750</v>
      </c>
      <c r="E399" s="26"/>
      <c r="F399" s="85" t="s">
        <v>145</v>
      </c>
      <c r="G399" s="114"/>
    </row>
    <row r="400" spans="1:7" s="131" customFormat="1" ht="49.95" customHeight="1" x14ac:dyDescent="0.3">
      <c r="A400" s="66">
        <f t="shared" si="9"/>
        <v>975</v>
      </c>
      <c r="B400" s="59" t="s">
        <v>216</v>
      </c>
      <c r="C400" s="59" t="s">
        <v>693</v>
      </c>
      <c r="D400" s="113" t="s">
        <v>693</v>
      </c>
      <c r="E400" s="26"/>
      <c r="F400" s="85" t="s">
        <v>145</v>
      </c>
      <c r="G400" s="114"/>
    </row>
    <row r="401" spans="1:7" s="131" customFormat="1" ht="49.95" customHeight="1" x14ac:dyDescent="0.3">
      <c r="A401" s="66">
        <f t="shared" si="9"/>
        <v>976</v>
      </c>
      <c r="B401" s="59">
        <v>2005</v>
      </c>
      <c r="C401" s="59" t="s">
        <v>751</v>
      </c>
      <c r="D401" s="113" t="s">
        <v>752</v>
      </c>
      <c r="E401" s="26"/>
      <c r="F401" s="85" t="s">
        <v>67</v>
      </c>
      <c r="G401" s="114"/>
    </row>
    <row r="402" spans="1:7" s="131" customFormat="1" ht="49.95" customHeight="1" x14ac:dyDescent="0.3">
      <c r="A402" s="66">
        <f t="shared" si="9"/>
        <v>977</v>
      </c>
      <c r="B402" s="59">
        <v>2004</v>
      </c>
      <c r="C402" s="59" t="s">
        <v>753</v>
      </c>
      <c r="D402" s="113" t="s">
        <v>754</v>
      </c>
      <c r="E402" s="26"/>
      <c r="F402" s="85" t="s">
        <v>67</v>
      </c>
      <c r="G402" s="114"/>
    </row>
    <row r="403" spans="1:7" s="131" customFormat="1" ht="49.95" customHeight="1" x14ac:dyDescent="0.3">
      <c r="A403" s="66">
        <f t="shared" si="9"/>
        <v>978</v>
      </c>
      <c r="B403" s="59">
        <v>2022</v>
      </c>
      <c r="C403" s="59" t="s">
        <v>420</v>
      </c>
      <c r="D403" s="59" t="s">
        <v>755</v>
      </c>
      <c r="E403" s="26"/>
      <c r="F403" s="85" t="s">
        <v>184</v>
      </c>
      <c r="G403" s="114"/>
    </row>
    <row r="404" spans="1:7" s="131" customFormat="1" ht="49.95" customHeight="1" x14ac:dyDescent="0.3">
      <c r="A404" s="66">
        <f t="shared" si="9"/>
        <v>979</v>
      </c>
      <c r="B404" s="59">
        <v>2019</v>
      </c>
      <c r="C404" s="59" t="s">
        <v>756</v>
      </c>
      <c r="D404" s="59" t="s">
        <v>333</v>
      </c>
      <c r="E404" s="26"/>
      <c r="F404" s="85" t="s">
        <v>184</v>
      </c>
      <c r="G404" s="114"/>
    </row>
    <row r="405" spans="1:7" s="131" customFormat="1" ht="49.95" customHeight="1" x14ac:dyDescent="0.3">
      <c r="A405" s="66">
        <f t="shared" si="9"/>
        <v>980</v>
      </c>
      <c r="B405" s="59">
        <v>2020</v>
      </c>
      <c r="C405" s="59" t="s">
        <v>430</v>
      </c>
      <c r="D405" s="59" t="s">
        <v>431</v>
      </c>
      <c r="E405" s="26"/>
      <c r="F405" s="85" t="s">
        <v>184</v>
      </c>
      <c r="G405" s="114"/>
    </row>
    <row r="406" spans="1:7" s="131" customFormat="1" ht="49.95" customHeight="1" x14ac:dyDescent="0.3">
      <c r="A406" s="66">
        <f t="shared" si="9"/>
        <v>981</v>
      </c>
      <c r="B406" s="59">
        <v>2021</v>
      </c>
      <c r="C406" s="59" t="s">
        <v>757</v>
      </c>
      <c r="D406" s="59" t="s">
        <v>758</v>
      </c>
      <c r="E406" s="26"/>
      <c r="F406" s="130"/>
      <c r="G406" s="38"/>
    </row>
    <row r="407" spans="1:7" s="131" customFormat="1" ht="49.95" customHeight="1" x14ac:dyDescent="0.3">
      <c r="A407" s="66">
        <f t="shared" si="9"/>
        <v>982</v>
      </c>
      <c r="B407" s="59">
        <v>2022</v>
      </c>
      <c r="C407" s="59" t="s">
        <v>441</v>
      </c>
      <c r="D407" s="59" t="s">
        <v>759</v>
      </c>
      <c r="E407" s="26"/>
      <c r="F407" s="85" t="s">
        <v>184</v>
      </c>
      <c r="G407" s="114"/>
    </row>
    <row r="408" spans="1:7" s="131" customFormat="1" ht="49.95" customHeight="1" x14ac:dyDescent="0.3">
      <c r="A408" s="66">
        <f t="shared" si="9"/>
        <v>983</v>
      </c>
      <c r="B408" s="59">
        <v>2025</v>
      </c>
      <c r="C408" s="59" t="s">
        <v>760</v>
      </c>
      <c r="D408" s="59" t="s">
        <v>7</v>
      </c>
      <c r="E408" s="26"/>
      <c r="F408" s="85" t="s">
        <v>184</v>
      </c>
      <c r="G408" s="114"/>
    </row>
    <row r="409" spans="1:7" s="131" customFormat="1" ht="49.95" customHeight="1" x14ac:dyDescent="0.3">
      <c r="A409" s="66">
        <f t="shared" si="9"/>
        <v>984</v>
      </c>
      <c r="B409" s="59">
        <v>2020</v>
      </c>
      <c r="C409" s="59" t="s">
        <v>231</v>
      </c>
      <c r="D409" s="59" t="s">
        <v>761</v>
      </c>
      <c r="E409" s="26"/>
      <c r="F409" s="85" t="s">
        <v>184</v>
      </c>
      <c r="G409" s="114"/>
    </row>
    <row r="410" spans="1:7" s="131" customFormat="1" ht="49.95" customHeight="1" x14ac:dyDescent="0.3">
      <c r="A410" s="66">
        <f t="shared" si="9"/>
        <v>985</v>
      </c>
      <c r="B410" s="59">
        <v>2023</v>
      </c>
      <c r="C410" s="59" t="s">
        <v>455</v>
      </c>
      <c r="D410" s="59" t="s">
        <v>762</v>
      </c>
      <c r="E410" s="26"/>
      <c r="F410" s="85" t="s">
        <v>184</v>
      </c>
      <c r="G410" s="38"/>
    </row>
    <row r="411" spans="1:7" s="131" customFormat="1" ht="49.95" customHeight="1" x14ac:dyDescent="0.3">
      <c r="A411" s="66">
        <f t="shared" si="9"/>
        <v>986</v>
      </c>
      <c r="B411" s="59">
        <v>2020</v>
      </c>
      <c r="C411" s="59" t="s">
        <v>763</v>
      </c>
      <c r="D411" s="59" t="s">
        <v>764</v>
      </c>
      <c r="E411" s="26"/>
      <c r="F411" s="85" t="s">
        <v>184</v>
      </c>
      <c r="G411" s="114"/>
    </row>
    <row r="412" spans="1:7" s="131" customFormat="1" ht="49.95" customHeight="1" x14ac:dyDescent="0.3">
      <c r="A412" s="66">
        <f t="shared" si="9"/>
        <v>987</v>
      </c>
      <c r="B412" s="59">
        <v>2024</v>
      </c>
      <c r="C412" s="59" t="s">
        <v>765</v>
      </c>
      <c r="D412" s="59" t="s">
        <v>766</v>
      </c>
      <c r="E412" s="26"/>
      <c r="F412" s="85" t="s">
        <v>184</v>
      </c>
      <c r="G412" s="114"/>
    </row>
    <row r="413" spans="1:7" s="131" customFormat="1" ht="49.95" customHeight="1" x14ac:dyDescent="0.3">
      <c r="A413" s="66">
        <f t="shared" si="9"/>
        <v>988</v>
      </c>
      <c r="B413" s="59">
        <v>2022</v>
      </c>
      <c r="C413" s="59" t="s">
        <v>103</v>
      </c>
      <c r="D413" s="59" t="s">
        <v>767</v>
      </c>
      <c r="E413" s="26"/>
      <c r="F413" s="85" t="s">
        <v>184</v>
      </c>
      <c r="G413" s="114"/>
    </row>
    <row r="414" spans="1:7" s="131" customFormat="1" ht="49.95" customHeight="1" x14ac:dyDescent="0.3">
      <c r="A414" s="66">
        <f t="shared" si="9"/>
        <v>989</v>
      </c>
      <c r="B414" s="59">
        <v>2022</v>
      </c>
      <c r="C414" s="59" t="s">
        <v>768</v>
      </c>
      <c r="D414" s="59" t="s">
        <v>769</v>
      </c>
      <c r="E414" s="26"/>
      <c r="F414" s="130"/>
      <c r="G414" s="43" t="s">
        <v>70</v>
      </c>
    </row>
    <row r="415" spans="1:7" s="131" customFormat="1" ht="49.95" customHeight="1" x14ac:dyDescent="0.3">
      <c r="A415" s="66">
        <f t="shared" si="9"/>
        <v>990</v>
      </c>
      <c r="B415" s="59">
        <v>2025</v>
      </c>
      <c r="C415" s="59" t="s">
        <v>770</v>
      </c>
      <c r="D415" s="59" t="s">
        <v>771</v>
      </c>
      <c r="E415" s="26"/>
      <c r="F415" s="130"/>
      <c r="G415" s="43" t="s">
        <v>70</v>
      </c>
    </row>
    <row r="416" spans="1:7" s="131" customFormat="1" ht="49.95" customHeight="1" x14ac:dyDescent="0.3">
      <c r="A416" s="66">
        <f t="shared" si="9"/>
        <v>991</v>
      </c>
      <c r="B416" s="59">
        <v>2023</v>
      </c>
      <c r="C416" s="59" t="s">
        <v>487</v>
      </c>
      <c r="D416" s="59" t="s">
        <v>772</v>
      </c>
      <c r="E416" s="26"/>
      <c r="F416" s="85" t="s">
        <v>184</v>
      </c>
      <c r="G416" s="114"/>
    </row>
    <row r="417" spans="1:40" s="131" customFormat="1" ht="49.95" customHeight="1" x14ac:dyDescent="0.3">
      <c r="A417" s="66">
        <f t="shared" si="9"/>
        <v>992</v>
      </c>
      <c r="B417" s="59">
        <v>2025</v>
      </c>
      <c r="C417" s="59" t="s">
        <v>773</v>
      </c>
      <c r="D417" s="59" t="s">
        <v>774</v>
      </c>
      <c r="E417" s="26"/>
      <c r="F417" s="85" t="s">
        <v>463</v>
      </c>
      <c r="G417" s="94"/>
    </row>
    <row r="418" spans="1:40" s="131" customFormat="1" ht="49.95" customHeight="1" x14ac:dyDescent="0.3">
      <c r="A418" s="66">
        <f t="shared" si="9"/>
        <v>993</v>
      </c>
      <c r="B418" s="59">
        <v>2021</v>
      </c>
      <c r="C418" s="59" t="s">
        <v>441</v>
      </c>
      <c r="D418" s="59" t="s">
        <v>775</v>
      </c>
      <c r="E418" s="26"/>
      <c r="F418" s="85" t="s">
        <v>184</v>
      </c>
      <c r="G418" s="114"/>
    </row>
    <row r="419" spans="1:40" s="131" customFormat="1" ht="49.95" customHeight="1" x14ac:dyDescent="0.3">
      <c r="A419" s="66">
        <f t="shared" si="9"/>
        <v>994</v>
      </c>
      <c r="B419" s="59">
        <v>2024</v>
      </c>
      <c r="C419" s="59" t="s">
        <v>776</v>
      </c>
      <c r="D419" s="59" t="s">
        <v>777</v>
      </c>
      <c r="E419" s="26"/>
      <c r="F419" s="85" t="s">
        <v>463</v>
      </c>
      <c r="G419" s="94"/>
    </row>
    <row r="420" spans="1:40" s="131" customFormat="1" ht="49.95" customHeight="1" x14ac:dyDescent="0.3">
      <c r="A420" s="66">
        <f t="shared" si="9"/>
        <v>995</v>
      </c>
      <c r="B420" s="59">
        <v>2019</v>
      </c>
      <c r="C420" s="59" t="s">
        <v>103</v>
      </c>
      <c r="D420" s="59" t="s">
        <v>778</v>
      </c>
      <c r="E420" s="26"/>
      <c r="F420" s="85" t="s">
        <v>184</v>
      </c>
      <c r="G420" s="114"/>
    </row>
    <row r="421" spans="1:40" s="131" customFormat="1" ht="49.95" customHeight="1" x14ac:dyDescent="0.3">
      <c r="A421" s="66">
        <f t="shared" si="9"/>
        <v>996</v>
      </c>
      <c r="B421" s="59">
        <v>2018</v>
      </c>
      <c r="C421" s="59" t="s">
        <v>779</v>
      </c>
      <c r="D421" s="59" t="s">
        <v>780</v>
      </c>
      <c r="E421" s="26"/>
      <c r="F421" s="85" t="s">
        <v>184</v>
      </c>
      <c r="G421" s="114"/>
    </row>
    <row r="422" spans="1:40" s="131" customFormat="1" ht="49.95" customHeight="1" x14ac:dyDescent="0.3">
      <c r="A422" s="66">
        <f t="shared" si="9"/>
        <v>997</v>
      </c>
      <c r="B422" s="59">
        <v>2024</v>
      </c>
      <c r="C422" s="59" t="s">
        <v>518</v>
      </c>
      <c r="D422" s="59" t="s">
        <v>781</v>
      </c>
      <c r="E422" s="26"/>
      <c r="F422" s="85" t="s">
        <v>184</v>
      </c>
      <c r="G422" s="114"/>
    </row>
    <row r="423" spans="1:40" s="131" customFormat="1" ht="49.95" customHeight="1" x14ac:dyDescent="0.3">
      <c r="A423" s="66">
        <f t="shared" si="9"/>
        <v>998</v>
      </c>
      <c r="B423" s="59">
        <v>2025</v>
      </c>
      <c r="C423" s="59" t="s">
        <v>499</v>
      </c>
      <c r="D423" s="59" t="s">
        <v>500</v>
      </c>
      <c r="E423" s="26"/>
      <c r="F423" s="85" t="s">
        <v>184</v>
      </c>
      <c r="G423" s="114"/>
    </row>
    <row r="424" spans="1:40" s="131" customFormat="1" ht="49.95" customHeight="1" x14ac:dyDescent="0.3">
      <c r="A424" s="66">
        <f t="shared" si="9"/>
        <v>999</v>
      </c>
      <c r="B424" s="59">
        <v>2025</v>
      </c>
      <c r="C424" s="59" t="s">
        <v>782</v>
      </c>
      <c r="D424" s="59" t="s">
        <v>783</v>
      </c>
      <c r="E424" s="26"/>
      <c r="F424" s="85" t="s">
        <v>1723</v>
      </c>
      <c r="G424" s="94"/>
    </row>
    <row r="425" spans="1:40" s="131" customFormat="1" ht="49.95" customHeight="1" x14ac:dyDescent="0.3">
      <c r="A425" s="66">
        <f t="shared" si="9"/>
        <v>1000</v>
      </c>
      <c r="B425" s="59">
        <v>2022</v>
      </c>
      <c r="C425" s="59" t="s">
        <v>784</v>
      </c>
      <c r="D425" s="59" t="s">
        <v>785</v>
      </c>
      <c r="E425" s="26"/>
      <c r="F425" s="85" t="s">
        <v>184</v>
      </c>
      <c r="G425" s="114"/>
    </row>
    <row r="426" spans="1:40" s="131" customFormat="1" ht="49.95" customHeight="1" x14ac:dyDescent="0.3">
      <c r="A426" s="66">
        <f t="shared" si="9"/>
        <v>1001</v>
      </c>
      <c r="B426" s="59" t="s">
        <v>216</v>
      </c>
      <c r="C426" s="59" t="s">
        <v>786</v>
      </c>
      <c r="D426" s="59" t="s">
        <v>787</v>
      </c>
      <c r="E426" s="26"/>
      <c r="F426" s="85" t="s">
        <v>145</v>
      </c>
      <c r="G426" s="114"/>
    </row>
    <row r="427" spans="1:40" s="131" customFormat="1" ht="49.95" customHeight="1" x14ac:dyDescent="0.3">
      <c r="A427" s="66">
        <f t="shared" si="9"/>
        <v>1002</v>
      </c>
      <c r="B427" s="59" t="s">
        <v>216</v>
      </c>
      <c r="C427" s="59" t="s">
        <v>518</v>
      </c>
      <c r="D427" s="59" t="s">
        <v>519</v>
      </c>
      <c r="E427" s="26"/>
      <c r="F427" s="85" t="s">
        <v>184</v>
      </c>
      <c r="G427" s="114"/>
    </row>
    <row r="428" spans="1:40" s="131" customFormat="1" ht="49.95" customHeight="1" x14ac:dyDescent="0.3">
      <c r="A428" s="66">
        <f t="shared" si="9"/>
        <v>1003</v>
      </c>
      <c r="B428" s="59">
        <v>2020</v>
      </c>
      <c r="C428" s="59" t="s">
        <v>788</v>
      </c>
      <c r="D428" s="59" t="s">
        <v>789</v>
      </c>
      <c r="E428" s="26"/>
      <c r="F428" s="85" t="s">
        <v>1723</v>
      </c>
      <c r="G428" s="94"/>
    </row>
    <row r="429" spans="1:40" s="131" customFormat="1" ht="49.95" customHeight="1" x14ac:dyDescent="0.3">
      <c r="A429" s="66">
        <f t="shared" si="9"/>
        <v>1004</v>
      </c>
      <c r="B429" s="59">
        <v>2021</v>
      </c>
      <c r="C429" s="59" t="s">
        <v>790</v>
      </c>
      <c r="D429" s="59" t="s">
        <v>791</v>
      </c>
      <c r="E429" s="26"/>
      <c r="F429" s="85" t="s">
        <v>1723</v>
      </c>
      <c r="G429" s="94"/>
    </row>
    <row r="430" spans="1:40" ht="23.4" x14ac:dyDescent="0.45">
      <c r="A430" s="44" t="s">
        <v>0</v>
      </c>
      <c r="B430" s="44" t="s">
        <v>1</v>
      </c>
      <c r="C430" s="44" t="s">
        <v>2</v>
      </c>
      <c r="D430" s="45" t="s">
        <v>3</v>
      </c>
      <c r="E430" s="45" t="s">
        <v>4</v>
      </c>
      <c r="F430" s="46" t="s">
        <v>5</v>
      </c>
      <c r="G430" s="47"/>
      <c r="H430" s="185"/>
      <c r="I430" s="185"/>
      <c r="J430" s="185"/>
      <c r="K430" s="187"/>
      <c r="L430" s="188"/>
      <c r="M430" s="189"/>
      <c r="N430" s="188"/>
      <c r="O430" s="185"/>
      <c r="P430" s="189"/>
      <c r="Q430" s="186"/>
      <c r="R430" s="186"/>
      <c r="S430" s="186"/>
      <c r="T430" s="186"/>
      <c r="U430" s="186"/>
      <c r="V430" s="186"/>
      <c r="W430" s="186"/>
      <c r="X430" s="186"/>
      <c r="Y430" s="186"/>
      <c r="Z430" s="186"/>
      <c r="AA430" s="186"/>
      <c r="AB430" s="186"/>
      <c r="AC430" s="186"/>
      <c r="AD430" s="186"/>
      <c r="AE430" s="186"/>
      <c r="AF430" s="186"/>
      <c r="AG430" s="186"/>
      <c r="AH430" s="186"/>
      <c r="AI430" s="186"/>
      <c r="AJ430" s="186"/>
      <c r="AK430" s="186"/>
      <c r="AL430" s="186"/>
      <c r="AM430" s="186"/>
      <c r="AN430" s="186"/>
    </row>
    <row r="431" spans="1:40" ht="93.6" x14ac:dyDescent="0.45">
      <c r="A431" s="49">
        <v>194</v>
      </c>
      <c r="B431" s="50">
        <v>2024</v>
      </c>
      <c r="C431" s="50" t="s">
        <v>792</v>
      </c>
      <c r="D431" s="50" t="s">
        <v>633</v>
      </c>
      <c r="E431" s="111" t="s">
        <v>793</v>
      </c>
      <c r="F431" s="112" t="s">
        <v>794</v>
      </c>
      <c r="G431" s="54"/>
      <c r="H431" s="185"/>
      <c r="I431" s="185"/>
      <c r="J431" s="185"/>
      <c r="K431" s="187"/>
      <c r="L431" s="188"/>
      <c r="M431" s="189"/>
      <c r="N431" s="188"/>
      <c r="O431" s="185"/>
      <c r="P431" s="189"/>
      <c r="Q431" s="186"/>
      <c r="R431" s="186"/>
      <c r="S431" s="186"/>
      <c r="T431" s="186"/>
      <c r="U431" s="186"/>
      <c r="V431" s="186"/>
      <c r="W431" s="186"/>
      <c r="X431" s="186"/>
      <c r="Y431" s="186"/>
      <c r="Z431" s="186"/>
      <c r="AA431" s="186"/>
      <c r="AB431" s="186"/>
      <c r="AC431" s="186"/>
      <c r="AD431" s="186"/>
      <c r="AE431" s="186"/>
      <c r="AF431" s="186"/>
      <c r="AG431" s="186"/>
      <c r="AH431" s="186"/>
      <c r="AI431" s="186"/>
      <c r="AJ431" s="186"/>
      <c r="AK431" s="186"/>
      <c r="AL431" s="186"/>
      <c r="AM431" s="186"/>
      <c r="AN431" s="186"/>
    </row>
    <row r="432" spans="1:40" s="4" customFormat="1" ht="100.2" customHeight="1" x14ac:dyDescent="0.45">
      <c r="A432" s="208" t="s">
        <v>10</v>
      </c>
      <c r="B432" s="209"/>
      <c r="C432" s="209"/>
      <c r="D432" s="209"/>
      <c r="E432" s="210"/>
      <c r="F432" s="205" t="s">
        <v>1733</v>
      </c>
      <c r="G432" s="200"/>
      <c r="H432" s="183"/>
      <c r="I432" s="184"/>
      <c r="J432" s="184"/>
      <c r="K432" s="184"/>
      <c r="L432" s="184"/>
      <c r="M432" s="184"/>
      <c r="N432" s="184"/>
      <c r="O432" s="184"/>
      <c r="P432" s="184"/>
      <c r="Q432" s="184"/>
      <c r="R432" s="184"/>
      <c r="S432" s="184"/>
      <c r="T432" s="184"/>
      <c r="U432" s="184"/>
      <c r="V432" s="184"/>
      <c r="W432" s="184"/>
      <c r="X432" s="184"/>
      <c r="Y432" s="184"/>
      <c r="Z432" s="184"/>
      <c r="AA432" s="184"/>
      <c r="AB432" s="184"/>
      <c r="AC432" s="184"/>
      <c r="AD432" s="184"/>
      <c r="AE432" s="184"/>
      <c r="AF432" s="184"/>
      <c r="AG432" s="184"/>
      <c r="AH432" s="184"/>
      <c r="AI432" s="184"/>
      <c r="AJ432" s="184"/>
      <c r="AK432" s="184"/>
      <c r="AL432" s="184"/>
      <c r="AM432" s="184"/>
      <c r="AN432" s="184"/>
    </row>
    <row r="433" spans="1:40" s="9" customFormat="1" ht="100.2" customHeight="1" x14ac:dyDescent="0.45">
      <c r="A433" s="208"/>
      <c r="B433" s="209"/>
      <c r="C433" s="209"/>
      <c r="D433" s="209"/>
      <c r="E433" s="210"/>
      <c r="F433" s="206"/>
      <c r="G433" s="202"/>
      <c r="H433" s="183"/>
      <c r="I433" s="184"/>
      <c r="J433" s="184"/>
      <c r="K433" s="184"/>
      <c r="L433" s="184"/>
      <c r="M433" s="184"/>
      <c r="N433" s="184"/>
      <c r="O433" s="184"/>
      <c r="P433" s="184"/>
      <c r="Q433" s="184"/>
      <c r="R433" s="184"/>
      <c r="S433" s="184"/>
      <c r="T433" s="184"/>
      <c r="U433" s="184"/>
      <c r="V433" s="184"/>
      <c r="W433" s="184"/>
      <c r="X433" s="184"/>
      <c r="Y433" s="184"/>
      <c r="Z433" s="184"/>
      <c r="AA433" s="184"/>
      <c r="AB433" s="184"/>
      <c r="AC433" s="184"/>
      <c r="AD433" s="184"/>
      <c r="AE433" s="184"/>
      <c r="AF433" s="184"/>
      <c r="AG433" s="184"/>
      <c r="AH433" s="184"/>
      <c r="AI433" s="184"/>
      <c r="AJ433" s="184"/>
      <c r="AK433" s="184"/>
      <c r="AL433" s="184"/>
      <c r="AM433" s="184"/>
      <c r="AN433" s="184"/>
    </row>
    <row r="434" spans="1:40" s="4" customFormat="1" ht="30" customHeight="1" x14ac:dyDescent="0.45">
      <c r="A434" s="208"/>
      <c r="B434" s="209"/>
      <c r="C434" s="209"/>
      <c r="D434" s="209"/>
      <c r="E434" s="210"/>
      <c r="F434" s="207"/>
      <c r="G434" s="204"/>
      <c r="H434" s="183"/>
      <c r="I434" s="184"/>
      <c r="J434" s="184"/>
      <c r="K434" s="184"/>
      <c r="L434" s="184"/>
      <c r="M434" s="184"/>
      <c r="N434" s="184"/>
      <c r="O434" s="184"/>
      <c r="P434" s="184"/>
      <c r="Q434" s="184"/>
      <c r="R434" s="184"/>
      <c r="S434" s="184"/>
      <c r="T434" s="184"/>
      <c r="U434" s="184"/>
      <c r="V434" s="184"/>
      <c r="W434" s="184"/>
      <c r="X434" s="184"/>
      <c r="Y434" s="184"/>
      <c r="Z434" s="184"/>
      <c r="AA434" s="184"/>
      <c r="AB434" s="184"/>
      <c r="AC434" s="184"/>
      <c r="AD434" s="184"/>
      <c r="AE434" s="184"/>
      <c r="AF434" s="184"/>
      <c r="AG434" s="184"/>
      <c r="AH434" s="184"/>
      <c r="AI434" s="184"/>
      <c r="AJ434" s="184"/>
      <c r="AK434" s="184"/>
      <c r="AL434" s="184"/>
      <c r="AM434" s="184"/>
      <c r="AN434" s="184"/>
    </row>
    <row r="435" spans="1:40" s="9" customFormat="1" ht="100.2" customHeight="1" x14ac:dyDescent="0.45">
      <c r="A435" s="56" t="s">
        <v>12</v>
      </c>
      <c r="B435" s="55" t="s">
        <v>13</v>
      </c>
      <c r="C435" s="55" t="s">
        <v>14</v>
      </c>
      <c r="D435" s="55" t="s">
        <v>15</v>
      </c>
      <c r="E435" s="57" t="s">
        <v>16</v>
      </c>
      <c r="F435" s="56" t="s">
        <v>1735</v>
      </c>
      <c r="G435" s="55" t="s">
        <v>1737</v>
      </c>
      <c r="H435" s="184"/>
      <c r="I435" s="184"/>
      <c r="J435" s="184"/>
      <c r="K435" s="184"/>
      <c r="L435" s="184"/>
      <c r="M435" s="184"/>
      <c r="N435" s="184"/>
      <c r="O435" s="184"/>
      <c r="P435" s="184"/>
      <c r="Q435" s="184"/>
      <c r="R435" s="184"/>
      <c r="S435" s="184"/>
      <c r="T435" s="184"/>
      <c r="U435" s="184"/>
      <c r="V435" s="184"/>
      <c r="W435" s="184"/>
      <c r="X435" s="184"/>
      <c r="Y435" s="184"/>
      <c r="Z435" s="184"/>
      <c r="AA435" s="184"/>
      <c r="AB435" s="184"/>
      <c r="AC435" s="184"/>
      <c r="AD435" s="184"/>
      <c r="AE435" s="184"/>
      <c r="AF435" s="184"/>
      <c r="AG435" s="184"/>
      <c r="AH435" s="184"/>
      <c r="AI435" s="184"/>
      <c r="AJ435" s="184"/>
      <c r="AK435" s="184"/>
      <c r="AL435" s="184"/>
      <c r="AM435" s="184"/>
      <c r="AN435" s="184"/>
    </row>
    <row r="436" spans="1:40" s="75" customFormat="1" ht="49.95" customHeight="1" x14ac:dyDescent="0.3">
      <c r="A436" s="66">
        <f>SUM(A429,1)</f>
        <v>1005</v>
      </c>
      <c r="B436" s="59">
        <v>2016</v>
      </c>
      <c r="C436" s="59" t="s">
        <v>795</v>
      </c>
      <c r="D436" s="59" t="s">
        <v>796</v>
      </c>
      <c r="E436" s="132" t="s">
        <v>797</v>
      </c>
      <c r="F436" s="85" t="s">
        <v>49</v>
      </c>
      <c r="G436" s="133"/>
    </row>
    <row r="437" spans="1:40" s="75" customFormat="1" ht="49.95" customHeight="1" x14ac:dyDescent="0.3">
      <c r="A437" s="66">
        <f>SUM(A436,1)</f>
        <v>1006</v>
      </c>
      <c r="B437" s="59">
        <v>2020</v>
      </c>
      <c r="C437" s="59" t="s">
        <v>798</v>
      </c>
      <c r="D437" s="59" t="s">
        <v>799</v>
      </c>
      <c r="E437" s="86"/>
      <c r="F437" s="85" t="s">
        <v>261</v>
      </c>
      <c r="G437" s="133"/>
    </row>
    <row r="438" spans="1:40" s="75" customFormat="1" ht="49.95" customHeight="1" x14ac:dyDescent="0.3">
      <c r="A438" s="66">
        <f t="shared" ref="A438:A501" si="10">SUM(A437,1)</f>
        <v>1007</v>
      </c>
      <c r="B438" s="59">
        <v>2022</v>
      </c>
      <c r="C438" s="59" t="s">
        <v>800</v>
      </c>
      <c r="D438" s="59" t="s">
        <v>801</v>
      </c>
      <c r="E438" s="26"/>
      <c r="F438" s="85" t="s">
        <v>145</v>
      </c>
      <c r="G438" s="114"/>
    </row>
    <row r="439" spans="1:40" s="75" customFormat="1" ht="49.95" customHeight="1" x14ac:dyDescent="0.3">
      <c r="A439" s="66">
        <f t="shared" si="10"/>
        <v>1008</v>
      </c>
      <c r="B439" s="59">
        <v>2021</v>
      </c>
      <c r="C439" s="59" t="s">
        <v>802</v>
      </c>
      <c r="D439" s="59" t="s">
        <v>474</v>
      </c>
      <c r="E439" s="79"/>
      <c r="F439" s="85" t="s">
        <v>184</v>
      </c>
      <c r="G439" s="114"/>
    </row>
    <row r="440" spans="1:40" s="75" customFormat="1" ht="49.95" customHeight="1" x14ac:dyDescent="0.3">
      <c r="A440" s="66">
        <f t="shared" si="10"/>
        <v>1009</v>
      </c>
      <c r="B440" s="59">
        <v>2021</v>
      </c>
      <c r="C440" s="59" t="s">
        <v>803</v>
      </c>
      <c r="D440" s="59" t="s">
        <v>804</v>
      </c>
      <c r="E440" s="26"/>
      <c r="F440" s="85" t="s">
        <v>145</v>
      </c>
      <c r="G440" s="114"/>
    </row>
    <row r="441" spans="1:40" s="75" customFormat="1" ht="49.95" customHeight="1" x14ac:dyDescent="0.3">
      <c r="A441" s="66">
        <f t="shared" si="10"/>
        <v>1010</v>
      </c>
      <c r="B441" s="59" t="s">
        <v>216</v>
      </c>
      <c r="C441" s="59" t="s">
        <v>805</v>
      </c>
      <c r="D441" s="59" t="s">
        <v>806</v>
      </c>
      <c r="E441" s="26"/>
      <c r="F441" s="85" t="s">
        <v>145</v>
      </c>
      <c r="G441" s="114"/>
    </row>
    <row r="442" spans="1:40" s="131" customFormat="1" ht="49.95" customHeight="1" x14ac:dyDescent="0.3">
      <c r="A442" s="66">
        <f t="shared" si="10"/>
        <v>1011</v>
      </c>
      <c r="B442" s="59">
        <v>2021</v>
      </c>
      <c r="C442" s="59" t="s">
        <v>807</v>
      </c>
      <c r="D442" s="59" t="s">
        <v>808</v>
      </c>
      <c r="E442" s="86"/>
      <c r="F442" s="85" t="s">
        <v>49</v>
      </c>
      <c r="G442" s="94"/>
    </row>
    <row r="443" spans="1:40" s="131" customFormat="1" ht="49.95" customHeight="1" x14ac:dyDescent="0.3">
      <c r="A443" s="66">
        <f t="shared" si="10"/>
        <v>1012</v>
      </c>
      <c r="B443" s="59">
        <v>2021</v>
      </c>
      <c r="C443" s="59" t="s">
        <v>809</v>
      </c>
      <c r="D443" s="59" t="s">
        <v>810</v>
      </c>
      <c r="E443" s="110" t="s">
        <v>811</v>
      </c>
      <c r="F443" s="85" t="s">
        <v>1724</v>
      </c>
      <c r="G443" s="133"/>
    </row>
    <row r="444" spans="1:40" s="131" customFormat="1" ht="49.95" customHeight="1" x14ac:dyDescent="0.3">
      <c r="A444" s="66">
        <f t="shared" si="10"/>
        <v>1013</v>
      </c>
      <c r="B444" s="59">
        <v>2017</v>
      </c>
      <c r="C444" s="59" t="s">
        <v>812</v>
      </c>
      <c r="D444" s="59" t="s">
        <v>813</v>
      </c>
      <c r="E444" s="86"/>
      <c r="F444" s="85" t="s">
        <v>49</v>
      </c>
      <c r="G444" s="133"/>
    </row>
    <row r="445" spans="1:40" s="131" customFormat="1" ht="49.95" customHeight="1" x14ac:dyDescent="0.3">
      <c r="A445" s="66">
        <f t="shared" si="10"/>
        <v>1014</v>
      </c>
      <c r="B445" s="59">
        <v>2015</v>
      </c>
      <c r="C445" s="59" t="s">
        <v>814</v>
      </c>
      <c r="D445" s="59" t="s">
        <v>815</v>
      </c>
      <c r="E445" s="86"/>
      <c r="F445" s="101"/>
      <c r="G445" s="134" t="s">
        <v>127</v>
      </c>
    </row>
    <row r="446" spans="1:40" s="131" customFormat="1" ht="49.95" customHeight="1" x14ac:dyDescent="0.3">
      <c r="A446" s="66">
        <f t="shared" si="10"/>
        <v>1015</v>
      </c>
      <c r="B446" s="59">
        <v>2003</v>
      </c>
      <c r="C446" s="59" t="s">
        <v>816</v>
      </c>
      <c r="D446" s="59" t="s">
        <v>102</v>
      </c>
      <c r="E446" s="26"/>
      <c r="F446" s="85" t="s">
        <v>67</v>
      </c>
      <c r="G446" s="114"/>
    </row>
    <row r="447" spans="1:40" s="131" customFormat="1" ht="49.95" customHeight="1" x14ac:dyDescent="0.3">
      <c r="A447" s="66">
        <f t="shared" si="10"/>
        <v>1016</v>
      </c>
      <c r="B447" s="59">
        <v>2016</v>
      </c>
      <c r="C447" s="59" t="s">
        <v>817</v>
      </c>
      <c r="D447" s="59" t="s">
        <v>818</v>
      </c>
      <c r="E447" s="86"/>
      <c r="F447" s="101"/>
      <c r="G447" s="134" t="s">
        <v>127</v>
      </c>
    </row>
    <row r="448" spans="1:40" s="131" customFormat="1" ht="49.95" customHeight="1" x14ac:dyDescent="0.3">
      <c r="A448" s="66">
        <f t="shared" si="10"/>
        <v>1017</v>
      </c>
      <c r="B448" s="59">
        <v>2009</v>
      </c>
      <c r="C448" s="59" t="s">
        <v>819</v>
      </c>
      <c r="D448" s="59" t="s">
        <v>820</v>
      </c>
      <c r="E448" s="26"/>
      <c r="F448" s="85" t="s">
        <v>67</v>
      </c>
      <c r="G448" s="114"/>
    </row>
    <row r="449" spans="1:7" s="131" customFormat="1" ht="49.95" customHeight="1" x14ac:dyDescent="0.3">
      <c r="A449" s="66">
        <f t="shared" si="10"/>
        <v>1018</v>
      </c>
      <c r="B449" s="59">
        <v>2021</v>
      </c>
      <c r="C449" s="59" t="s">
        <v>821</v>
      </c>
      <c r="D449" s="59" t="s">
        <v>822</v>
      </c>
      <c r="E449" s="86"/>
      <c r="F449" s="101"/>
      <c r="G449" s="134" t="s">
        <v>331</v>
      </c>
    </row>
    <row r="450" spans="1:7" s="131" customFormat="1" ht="49.95" customHeight="1" x14ac:dyDescent="0.3">
      <c r="A450" s="66">
        <f t="shared" si="10"/>
        <v>1019</v>
      </c>
      <c r="B450" s="59">
        <v>2020</v>
      </c>
      <c r="C450" s="59" t="s">
        <v>823</v>
      </c>
      <c r="D450" s="59" t="s">
        <v>824</v>
      </c>
      <c r="E450" s="86"/>
      <c r="F450" s="85" t="s">
        <v>184</v>
      </c>
      <c r="G450" s="135"/>
    </row>
    <row r="451" spans="1:7" s="131" customFormat="1" ht="49.95" customHeight="1" x14ac:dyDescent="0.3">
      <c r="A451" s="66">
        <f t="shared" si="10"/>
        <v>1020</v>
      </c>
      <c r="B451" s="59">
        <v>2017</v>
      </c>
      <c r="C451" s="59" t="s">
        <v>825</v>
      </c>
      <c r="D451" s="59" t="s">
        <v>826</v>
      </c>
      <c r="E451" s="136"/>
      <c r="F451" s="101"/>
      <c r="G451" s="134" t="s">
        <v>127</v>
      </c>
    </row>
    <row r="452" spans="1:7" s="131" customFormat="1" ht="49.95" customHeight="1" x14ac:dyDescent="0.3">
      <c r="A452" s="66">
        <f t="shared" si="10"/>
        <v>1021</v>
      </c>
      <c r="B452" s="59">
        <v>2017</v>
      </c>
      <c r="C452" s="59" t="s">
        <v>827</v>
      </c>
      <c r="D452" s="59" t="s">
        <v>828</v>
      </c>
      <c r="E452" s="79"/>
      <c r="F452" s="85" t="s">
        <v>145</v>
      </c>
      <c r="G452" s="114"/>
    </row>
    <row r="453" spans="1:7" s="131" customFormat="1" ht="49.95" customHeight="1" x14ac:dyDescent="0.3">
      <c r="A453" s="66">
        <f t="shared" si="10"/>
        <v>1022</v>
      </c>
      <c r="B453" s="59">
        <v>2022</v>
      </c>
      <c r="C453" s="59" t="s">
        <v>829</v>
      </c>
      <c r="D453" s="59" t="s">
        <v>830</v>
      </c>
      <c r="E453" s="26"/>
      <c r="F453" s="85" t="s">
        <v>145</v>
      </c>
      <c r="G453" s="114"/>
    </row>
    <row r="454" spans="1:7" s="131" customFormat="1" ht="49.95" customHeight="1" x14ac:dyDescent="0.3">
      <c r="A454" s="66">
        <f t="shared" si="10"/>
        <v>1023</v>
      </c>
      <c r="B454" s="59">
        <v>2020</v>
      </c>
      <c r="C454" s="59" t="s">
        <v>831</v>
      </c>
      <c r="D454" s="59" t="s">
        <v>832</v>
      </c>
      <c r="E454" s="79"/>
      <c r="F454" s="85" t="s">
        <v>145</v>
      </c>
      <c r="G454" s="114"/>
    </row>
    <row r="455" spans="1:7" s="131" customFormat="1" ht="49.95" customHeight="1" x14ac:dyDescent="0.3">
      <c r="A455" s="66">
        <f t="shared" si="10"/>
        <v>1024</v>
      </c>
      <c r="B455" s="59">
        <v>2021</v>
      </c>
      <c r="C455" s="59" t="s">
        <v>833</v>
      </c>
      <c r="D455" s="59" t="s">
        <v>834</v>
      </c>
      <c r="E455" s="86"/>
      <c r="F455" s="101"/>
      <c r="G455" s="134" t="s">
        <v>331</v>
      </c>
    </row>
    <row r="456" spans="1:7" s="131" customFormat="1" ht="49.95" customHeight="1" x14ac:dyDescent="0.3">
      <c r="A456" s="66">
        <f t="shared" si="10"/>
        <v>1025</v>
      </c>
      <c r="B456" s="59">
        <v>2023</v>
      </c>
      <c r="C456" s="59" t="s">
        <v>835</v>
      </c>
      <c r="D456" s="59" t="s">
        <v>836</v>
      </c>
      <c r="E456" s="86"/>
      <c r="F456" s="101"/>
      <c r="G456" s="134" t="s">
        <v>331</v>
      </c>
    </row>
    <row r="457" spans="1:7" s="131" customFormat="1" ht="49.95" customHeight="1" x14ac:dyDescent="0.3">
      <c r="A457" s="66">
        <f t="shared" si="10"/>
        <v>1026</v>
      </c>
      <c r="B457" s="59">
        <v>2021</v>
      </c>
      <c r="C457" s="59" t="s">
        <v>837</v>
      </c>
      <c r="D457" s="59" t="s">
        <v>838</v>
      </c>
      <c r="E457" s="136"/>
      <c r="F457" s="101"/>
      <c r="G457" s="134" t="s">
        <v>120</v>
      </c>
    </row>
    <row r="458" spans="1:7" s="131" customFormat="1" ht="49.95" customHeight="1" x14ac:dyDescent="0.3">
      <c r="A458" s="66">
        <f t="shared" si="10"/>
        <v>1027</v>
      </c>
      <c r="B458" s="59">
        <v>2021</v>
      </c>
      <c r="C458" s="59" t="s">
        <v>839</v>
      </c>
      <c r="D458" s="59" t="s">
        <v>840</v>
      </c>
      <c r="E458" s="26"/>
      <c r="F458" s="85" t="s">
        <v>145</v>
      </c>
      <c r="G458" s="114"/>
    </row>
    <row r="459" spans="1:7" s="131" customFormat="1" ht="49.95" customHeight="1" x14ac:dyDescent="0.3">
      <c r="A459" s="66">
        <f t="shared" si="10"/>
        <v>1028</v>
      </c>
      <c r="B459" s="59">
        <v>2023</v>
      </c>
      <c r="C459" s="59" t="s">
        <v>841</v>
      </c>
      <c r="D459" s="59" t="s">
        <v>842</v>
      </c>
      <c r="E459" s="136"/>
      <c r="F459" s="101"/>
      <c r="G459" s="134" t="s">
        <v>127</v>
      </c>
    </row>
    <row r="460" spans="1:7" s="131" customFormat="1" ht="49.95" customHeight="1" x14ac:dyDescent="0.3">
      <c r="A460" s="66">
        <f t="shared" si="10"/>
        <v>1029</v>
      </c>
      <c r="B460" s="59">
        <v>2021</v>
      </c>
      <c r="C460" s="59" t="s">
        <v>843</v>
      </c>
      <c r="D460" s="59" t="s">
        <v>844</v>
      </c>
      <c r="E460" s="86"/>
      <c r="F460" s="101"/>
      <c r="G460" s="135"/>
    </row>
    <row r="461" spans="1:7" s="131" customFormat="1" ht="49.95" customHeight="1" x14ac:dyDescent="0.3">
      <c r="A461" s="66">
        <f t="shared" si="10"/>
        <v>1030</v>
      </c>
      <c r="B461" s="59">
        <v>2022</v>
      </c>
      <c r="C461" s="59" t="s">
        <v>843</v>
      </c>
      <c r="D461" s="59" t="s">
        <v>845</v>
      </c>
      <c r="E461" s="104" t="s">
        <v>846</v>
      </c>
      <c r="F461" s="137" t="s">
        <v>847</v>
      </c>
      <c r="G461" s="133"/>
    </row>
    <row r="462" spans="1:7" s="131" customFormat="1" ht="49.95" customHeight="1" x14ac:dyDescent="0.3">
      <c r="A462" s="66">
        <f t="shared" si="10"/>
        <v>1031</v>
      </c>
      <c r="B462" s="59">
        <v>2023</v>
      </c>
      <c r="C462" s="59" t="s">
        <v>848</v>
      </c>
      <c r="D462" s="59" t="s">
        <v>849</v>
      </c>
      <c r="E462" s="74" t="s">
        <v>850</v>
      </c>
      <c r="F462" s="138" t="s">
        <v>261</v>
      </c>
      <c r="G462" s="133"/>
    </row>
    <row r="463" spans="1:7" s="131" customFormat="1" ht="49.95" customHeight="1" x14ac:dyDescent="0.3">
      <c r="A463" s="66">
        <f t="shared" si="10"/>
        <v>1032</v>
      </c>
      <c r="B463" s="59">
        <v>2019</v>
      </c>
      <c r="C463" s="59" t="s">
        <v>851</v>
      </c>
      <c r="D463" s="59" t="s">
        <v>852</v>
      </c>
      <c r="E463" s="86"/>
      <c r="F463" s="85" t="s">
        <v>145</v>
      </c>
      <c r="G463" s="133"/>
    </row>
    <row r="464" spans="1:7" s="131" customFormat="1" ht="49.95" customHeight="1" x14ac:dyDescent="0.3">
      <c r="A464" s="66">
        <f t="shared" si="10"/>
        <v>1033</v>
      </c>
      <c r="B464" s="59">
        <v>2023</v>
      </c>
      <c r="C464" s="59" t="s">
        <v>853</v>
      </c>
      <c r="D464" s="59" t="s">
        <v>445</v>
      </c>
      <c r="E464" s="26"/>
      <c r="F464" s="85" t="s">
        <v>184</v>
      </c>
      <c r="G464" s="114"/>
    </row>
    <row r="465" spans="1:7" s="131" customFormat="1" ht="49.95" customHeight="1" x14ac:dyDescent="0.3">
      <c r="A465" s="66">
        <f t="shared" si="10"/>
        <v>1034</v>
      </c>
      <c r="B465" s="59">
        <v>2022</v>
      </c>
      <c r="C465" s="59" t="s">
        <v>854</v>
      </c>
      <c r="D465" s="59" t="s">
        <v>855</v>
      </c>
      <c r="E465" s="139" t="s">
        <v>856</v>
      </c>
      <c r="F465" s="85" t="s">
        <v>49</v>
      </c>
      <c r="G465" s="133"/>
    </row>
    <row r="466" spans="1:7" s="131" customFormat="1" ht="49.95" customHeight="1" x14ac:dyDescent="0.3">
      <c r="A466" s="66">
        <f t="shared" si="10"/>
        <v>1035</v>
      </c>
      <c r="B466" s="59">
        <v>2016</v>
      </c>
      <c r="C466" s="59" t="s">
        <v>857</v>
      </c>
      <c r="D466" s="59" t="s">
        <v>858</v>
      </c>
      <c r="E466" s="86"/>
      <c r="F466" s="85" t="s">
        <v>49</v>
      </c>
      <c r="G466" s="133"/>
    </row>
    <row r="467" spans="1:7" s="131" customFormat="1" ht="49.95" customHeight="1" x14ac:dyDescent="0.3">
      <c r="A467" s="66">
        <f t="shared" si="10"/>
        <v>1036</v>
      </c>
      <c r="B467" s="59">
        <v>2023</v>
      </c>
      <c r="C467" s="59" t="s">
        <v>859</v>
      </c>
      <c r="D467" s="59" t="s">
        <v>860</v>
      </c>
      <c r="E467" s="86"/>
      <c r="F467" s="85" t="s">
        <v>49</v>
      </c>
      <c r="G467" s="133"/>
    </row>
    <row r="468" spans="1:7" s="131" customFormat="1" ht="49.95" customHeight="1" x14ac:dyDescent="0.3">
      <c r="A468" s="66">
        <f t="shared" si="10"/>
        <v>1037</v>
      </c>
      <c r="B468" s="59" t="s">
        <v>216</v>
      </c>
      <c r="C468" s="59" t="s">
        <v>861</v>
      </c>
      <c r="D468" s="59" t="s">
        <v>862</v>
      </c>
      <c r="E468" s="26"/>
      <c r="F468" s="85" t="s">
        <v>145</v>
      </c>
      <c r="G468" s="114"/>
    </row>
    <row r="469" spans="1:7" s="131" customFormat="1" ht="49.95" customHeight="1" x14ac:dyDescent="0.3">
      <c r="A469" s="66">
        <f t="shared" si="10"/>
        <v>1038</v>
      </c>
      <c r="B469" s="59">
        <v>2019</v>
      </c>
      <c r="C469" s="59" t="s">
        <v>863</v>
      </c>
      <c r="D469" s="59" t="s">
        <v>864</v>
      </c>
      <c r="E469" s="104" t="s">
        <v>260</v>
      </c>
      <c r="F469" s="85" t="s">
        <v>261</v>
      </c>
      <c r="G469" s="133"/>
    </row>
    <row r="470" spans="1:7" s="131" customFormat="1" ht="49.95" customHeight="1" x14ac:dyDescent="0.3">
      <c r="A470" s="66">
        <f t="shared" si="10"/>
        <v>1039</v>
      </c>
      <c r="B470" s="59">
        <v>2015</v>
      </c>
      <c r="C470" s="59" t="s">
        <v>865</v>
      </c>
      <c r="D470" s="59" t="s">
        <v>866</v>
      </c>
      <c r="E470" s="86"/>
      <c r="F470" s="85" t="s">
        <v>49</v>
      </c>
      <c r="G470" s="133"/>
    </row>
    <row r="471" spans="1:7" s="131" customFormat="1" ht="49.95" customHeight="1" x14ac:dyDescent="0.3">
      <c r="A471" s="66">
        <f t="shared" si="10"/>
        <v>1040</v>
      </c>
      <c r="B471" s="59">
        <v>2022</v>
      </c>
      <c r="C471" s="59" t="s">
        <v>867</v>
      </c>
      <c r="D471" s="59" t="s">
        <v>868</v>
      </c>
      <c r="E471" s="140" t="s">
        <v>869</v>
      </c>
      <c r="F471" s="85" t="s">
        <v>49</v>
      </c>
      <c r="G471" s="94"/>
    </row>
    <row r="472" spans="1:7" s="131" customFormat="1" ht="49.95" customHeight="1" x14ac:dyDescent="0.3">
      <c r="A472" s="66">
        <f t="shared" si="10"/>
        <v>1041</v>
      </c>
      <c r="B472" s="59">
        <v>2016</v>
      </c>
      <c r="C472" s="59" t="s">
        <v>870</v>
      </c>
      <c r="D472" s="59" t="s">
        <v>871</v>
      </c>
      <c r="E472" s="86"/>
      <c r="F472" s="85" t="s">
        <v>261</v>
      </c>
      <c r="G472" s="133"/>
    </row>
    <row r="473" spans="1:7" s="131" customFormat="1" ht="49.95" customHeight="1" x14ac:dyDescent="0.3">
      <c r="A473" s="66">
        <f t="shared" si="10"/>
        <v>1042</v>
      </c>
      <c r="B473" s="59" t="s">
        <v>216</v>
      </c>
      <c r="C473" s="59" t="s">
        <v>872</v>
      </c>
      <c r="D473" s="59" t="s">
        <v>873</v>
      </c>
      <c r="E473" s="26"/>
      <c r="F473" s="85" t="s">
        <v>145</v>
      </c>
      <c r="G473" s="114"/>
    </row>
    <row r="474" spans="1:7" s="131" customFormat="1" ht="49.95" customHeight="1" x14ac:dyDescent="0.3">
      <c r="A474" s="66">
        <f t="shared" si="10"/>
        <v>1043</v>
      </c>
      <c r="B474" s="59">
        <v>2018</v>
      </c>
      <c r="C474" s="59" t="s">
        <v>874</v>
      </c>
      <c r="D474" s="59" t="s">
        <v>875</v>
      </c>
      <c r="E474" s="86"/>
      <c r="F474" s="85" t="s">
        <v>261</v>
      </c>
      <c r="G474" s="133"/>
    </row>
    <row r="475" spans="1:7" s="131" customFormat="1" ht="49.95" customHeight="1" x14ac:dyDescent="0.3">
      <c r="A475" s="66">
        <f t="shared" si="10"/>
        <v>1044</v>
      </c>
      <c r="B475" s="59">
        <v>2007</v>
      </c>
      <c r="C475" s="59" t="s">
        <v>876</v>
      </c>
      <c r="D475" s="59" t="s">
        <v>877</v>
      </c>
      <c r="E475" s="26"/>
      <c r="F475" s="85" t="s">
        <v>67</v>
      </c>
      <c r="G475" s="114"/>
    </row>
    <row r="476" spans="1:7" s="131" customFormat="1" ht="49.95" customHeight="1" x14ac:dyDescent="0.3">
      <c r="A476" s="66">
        <f t="shared" si="10"/>
        <v>1045</v>
      </c>
      <c r="B476" s="59">
        <v>2024</v>
      </c>
      <c r="C476" s="59" t="s">
        <v>878</v>
      </c>
      <c r="D476" s="59" t="s">
        <v>879</v>
      </c>
      <c r="E476" s="86"/>
      <c r="F476" s="101"/>
      <c r="G476" s="134" t="s">
        <v>127</v>
      </c>
    </row>
    <row r="477" spans="1:7" s="131" customFormat="1" ht="49.95" customHeight="1" x14ac:dyDescent="0.3">
      <c r="A477" s="66">
        <f t="shared" si="10"/>
        <v>1046</v>
      </c>
      <c r="B477" s="59">
        <v>2019</v>
      </c>
      <c r="C477" s="59" t="s">
        <v>880</v>
      </c>
      <c r="D477" s="59" t="s">
        <v>881</v>
      </c>
      <c r="E477" s="86"/>
      <c r="F477" s="101"/>
      <c r="G477" s="134" t="s">
        <v>127</v>
      </c>
    </row>
    <row r="478" spans="1:7" s="131" customFormat="1" ht="49.95" customHeight="1" x14ac:dyDescent="0.3">
      <c r="A478" s="66">
        <f t="shared" si="10"/>
        <v>1047</v>
      </c>
      <c r="B478" s="59">
        <v>2014</v>
      </c>
      <c r="C478" s="59" t="s">
        <v>882</v>
      </c>
      <c r="D478" s="59" t="s">
        <v>883</v>
      </c>
      <c r="E478" s="26"/>
      <c r="F478" s="85" t="s">
        <v>67</v>
      </c>
      <c r="G478" s="114"/>
    </row>
    <row r="479" spans="1:7" s="131" customFormat="1" ht="49.95" customHeight="1" x14ac:dyDescent="0.3">
      <c r="A479" s="66">
        <f t="shared" si="10"/>
        <v>1048</v>
      </c>
      <c r="B479" s="59" t="s">
        <v>216</v>
      </c>
      <c r="C479" s="59" t="s">
        <v>884</v>
      </c>
      <c r="D479" s="59" t="s">
        <v>885</v>
      </c>
      <c r="E479" s="26"/>
      <c r="F479" s="85" t="s">
        <v>145</v>
      </c>
      <c r="G479" s="114"/>
    </row>
    <row r="480" spans="1:7" s="131" customFormat="1" ht="49.95" customHeight="1" x14ac:dyDescent="0.3">
      <c r="A480" s="66">
        <f t="shared" si="10"/>
        <v>1049</v>
      </c>
      <c r="B480" s="59">
        <v>2022</v>
      </c>
      <c r="C480" s="59" t="s">
        <v>886</v>
      </c>
      <c r="D480" s="59" t="s">
        <v>887</v>
      </c>
      <c r="E480" s="26"/>
      <c r="F480" s="85" t="s">
        <v>145</v>
      </c>
      <c r="G480" s="114"/>
    </row>
    <row r="481" spans="1:7" s="131" customFormat="1" ht="49.95" customHeight="1" x14ac:dyDescent="0.3">
      <c r="A481" s="66">
        <f t="shared" si="10"/>
        <v>1050</v>
      </c>
      <c r="B481" s="59">
        <v>2020</v>
      </c>
      <c r="C481" s="59" t="s">
        <v>888</v>
      </c>
      <c r="D481" s="59" t="s">
        <v>889</v>
      </c>
      <c r="E481" s="86"/>
      <c r="F481" s="101"/>
      <c r="G481" s="134" t="s">
        <v>127</v>
      </c>
    </row>
    <row r="482" spans="1:7" s="131" customFormat="1" ht="49.95" customHeight="1" x14ac:dyDescent="0.3">
      <c r="A482" s="66">
        <f t="shared" si="10"/>
        <v>1051</v>
      </c>
      <c r="B482" s="59">
        <v>2023</v>
      </c>
      <c r="C482" s="59" t="s">
        <v>890</v>
      </c>
      <c r="D482" s="59" t="s">
        <v>891</v>
      </c>
      <c r="E482" s="86"/>
      <c r="F482" s="130"/>
      <c r="G482" s="134" t="s">
        <v>120</v>
      </c>
    </row>
    <row r="483" spans="1:7" s="131" customFormat="1" ht="49.95" customHeight="1" x14ac:dyDescent="0.3">
      <c r="A483" s="66">
        <f t="shared" si="10"/>
        <v>1052</v>
      </c>
      <c r="B483" s="59">
        <v>2020</v>
      </c>
      <c r="C483" s="59" t="s">
        <v>892</v>
      </c>
      <c r="D483" s="59" t="s">
        <v>419</v>
      </c>
      <c r="E483" s="26"/>
      <c r="F483" s="85" t="s">
        <v>184</v>
      </c>
      <c r="G483" s="114"/>
    </row>
    <row r="484" spans="1:7" s="131" customFormat="1" ht="49.95" customHeight="1" x14ac:dyDescent="0.3">
      <c r="A484" s="66">
        <f t="shared" si="10"/>
        <v>1053</v>
      </c>
      <c r="B484" s="59">
        <v>2009</v>
      </c>
      <c r="C484" s="59" t="s">
        <v>893</v>
      </c>
      <c r="D484" s="59" t="s">
        <v>894</v>
      </c>
      <c r="E484" s="26"/>
      <c r="F484" s="85" t="s">
        <v>67</v>
      </c>
      <c r="G484" s="114"/>
    </row>
    <row r="485" spans="1:7" s="131" customFormat="1" ht="49.95" customHeight="1" x14ac:dyDescent="0.3">
      <c r="A485" s="66">
        <f t="shared" si="10"/>
        <v>1054</v>
      </c>
      <c r="B485" s="59" t="s">
        <v>216</v>
      </c>
      <c r="C485" s="59" t="s">
        <v>895</v>
      </c>
      <c r="D485" s="59" t="s">
        <v>896</v>
      </c>
      <c r="E485" s="26"/>
      <c r="F485" s="85" t="s">
        <v>145</v>
      </c>
      <c r="G485" s="114"/>
    </row>
    <row r="486" spans="1:7" s="131" customFormat="1" ht="49.95" customHeight="1" x14ac:dyDescent="0.3">
      <c r="A486" s="66">
        <f t="shared" si="10"/>
        <v>1055</v>
      </c>
      <c r="B486" s="59">
        <v>2014</v>
      </c>
      <c r="C486" s="59" t="s">
        <v>897</v>
      </c>
      <c r="D486" s="59" t="s">
        <v>898</v>
      </c>
      <c r="E486" s="26"/>
      <c r="F486" s="85" t="s">
        <v>67</v>
      </c>
      <c r="G486" s="114"/>
    </row>
    <row r="487" spans="1:7" s="131" customFormat="1" ht="49.95" customHeight="1" x14ac:dyDescent="0.3">
      <c r="A487" s="66">
        <f t="shared" si="10"/>
        <v>1056</v>
      </c>
      <c r="B487" s="59">
        <v>2014</v>
      </c>
      <c r="C487" s="59" t="s">
        <v>899</v>
      </c>
      <c r="D487" s="59" t="s">
        <v>900</v>
      </c>
      <c r="E487" s="26"/>
      <c r="F487" s="85" t="s">
        <v>67</v>
      </c>
      <c r="G487" s="114"/>
    </row>
    <row r="488" spans="1:7" s="131" customFormat="1" ht="49.95" customHeight="1" x14ac:dyDescent="0.3">
      <c r="A488" s="66">
        <f t="shared" si="10"/>
        <v>1057</v>
      </c>
      <c r="B488" s="59">
        <v>2018</v>
      </c>
      <c r="C488" s="59" t="s">
        <v>901</v>
      </c>
      <c r="D488" s="59" t="s">
        <v>902</v>
      </c>
      <c r="E488" s="136"/>
      <c r="F488" s="101"/>
      <c r="G488" s="134" t="s">
        <v>127</v>
      </c>
    </row>
    <row r="489" spans="1:7" s="131" customFormat="1" ht="49.95" customHeight="1" x14ac:dyDescent="0.3">
      <c r="A489" s="66">
        <f t="shared" si="10"/>
        <v>1058</v>
      </c>
      <c r="B489" s="59">
        <v>2019</v>
      </c>
      <c r="C489" s="59" t="s">
        <v>903</v>
      </c>
      <c r="D489" s="59" t="s">
        <v>904</v>
      </c>
      <c r="E489" s="86"/>
      <c r="F489" s="130"/>
      <c r="G489" s="134" t="s">
        <v>127</v>
      </c>
    </row>
    <row r="490" spans="1:7" s="131" customFormat="1" ht="49.95" customHeight="1" x14ac:dyDescent="0.3">
      <c r="A490" s="66">
        <f t="shared" si="10"/>
        <v>1059</v>
      </c>
      <c r="B490" s="59">
        <v>2022</v>
      </c>
      <c r="C490" s="59" t="s">
        <v>905</v>
      </c>
      <c r="D490" s="59" t="s">
        <v>906</v>
      </c>
      <c r="E490" s="86"/>
      <c r="F490" s="101"/>
      <c r="G490" s="134" t="s">
        <v>331</v>
      </c>
    </row>
    <row r="491" spans="1:7" s="131" customFormat="1" ht="49.95" customHeight="1" x14ac:dyDescent="0.3">
      <c r="A491" s="66">
        <f t="shared" si="10"/>
        <v>1060</v>
      </c>
      <c r="B491" s="59" t="s">
        <v>216</v>
      </c>
      <c r="C491" s="59" t="s">
        <v>907</v>
      </c>
      <c r="D491" s="59" t="s">
        <v>908</v>
      </c>
      <c r="E491" s="26"/>
      <c r="F491" s="85" t="s">
        <v>145</v>
      </c>
      <c r="G491" s="114"/>
    </row>
    <row r="492" spans="1:7" s="131" customFormat="1" ht="49.95" customHeight="1" x14ac:dyDescent="0.3">
      <c r="A492" s="66">
        <f t="shared" si="10"/>
        <v>1061</v>
      </c>
      <c r="B492" s="59" t="s">
        <v>216</v>
      </c>
      <c r="C492" s="59" t="s">
        <v>907</v>
      </c>
      <c r="D492" s="59" t="s">
        <v>909</v>
      </c>
      <c r="E492" s="26"/>
      <c r="F492" s="85" t="s">
        <v>145</v>
      </c>
      <c r="G492" s="114"/>
    </row>
    <row r="493" spans="1:7" s="131" customFormat="1" ht="49.95" customHeight="1" x14ac:dyDescent="0.3">
      <c r="A493" s="66">
        <f t="shared" si="10"/>
        <v>1062</v>
      </c>
      <c r="B493" s="59" t="s">
        <v>216</v>
      </c>
      <c r="C493" s="59" t="s">
        <v>910</v>
      </c>
      <c r="D493" s="59" t="s">
        <v>911</v>
      </c>
      <c r="E493" s="26"/>
      <c r="F493" s="85" t="s">
        <v>145</v>
      </c>
      <c r="G493" s="114"/>
    </row>
    <row r="494" spans="1:7" s="131" customFormat="1" ht="49.95" customHeight="1" x14ac:dyDescent="0.3">
      <c r="A494" s="66">
        <f t="shared" si="10"/>
        <v>1063</v>
      </c>
      <c r="B494" s="59">
        <v>2019</v>
      </c>
      <c r="C494" s="59" t="s">
        <v>912</v>
      </c>
      <c r="D494" s="59" t="s">
        <v>913</v>
      </c>
      <c r="E494" s="86"/>
      <c r="F494" s="130"/>
      <c r="G494" s="134" t="s">
        <v>127</v>
      </c>
    </row>
    <row r="495" spans="1:7" s="131" customFormat="1" ht="49.95" customHeight="1" x14ac:dyDescent="0.3">
      <c r="A495" s="66">
        <f t="shared" si="10"/>
        <v>1064</v>
      </c>
      <c r="B495" s="59">
        <v>2023</v>
      </c>
      <c r="C495" s="59" t="s">
        <v>914</v>
      </c>
      <c r="D495" s="59" t="s">
        <v>456</v>
      </c>
      <c r="E495" s="26"/>
      <c r="F495" s="85" t="s">
        <v>184</v>
      </c>
      <c r="G495" s="114"/>
    </row>
    <row r="496" spans="1:7" s="131" customFormat="1" ht="49.95" customHeight="1" x14ac:dyDescent="0.3">
      <c r="A496" s="66">
        <f t="shared" si="10"/>
        <v>1065</v>
      </c>
      <c r="B496" s="59">
        <v>2024</v>
      </c>
      <c r="C496" s="59" t="s">
        <v>915</v>
      </c>
      <c r="D496" s="59" t="s">
        <v>916</v>
      </c>
      <c r="E496" s="26"/>
      <c r="F496" s="85" t="s">
        <v>145</v>
      </c>
      <c r="G496" s="114"/>
    </row>
    <row r="497" spans="1:7" s="131" customFormat="1" ht="49.95" customHeight="1" x14ac:dyDescent="0.3">
      <c r="A497" s="66">
        <f t="shared" si="10"/>
        <v>1066</v>
      </c>
      <c r="B497" s="59">
        <v>2015</v>
      </c>
      <c r="C497" s="59" t="s">
        <v>917</v>
      </c>
      <c r="D497" s="59" t="s">
        <v>918</v>
      </c>
      <c r="E497" s="86"/>
      <c r="F497" s="130"/>
      <c r="G497" s="134" t="s">
        <v>331</v>
      </c>
    </row>
    <row r="498" spans="1:7" s="131" customFormat="1" ht="49.95" customHeight="1" x14ac:dyDescent="0.3">
      <c r="A498" s="66">
        <f t="shared" si="10"/>
        <v>1067</v>
      </c>
      <c r="B498" s="59">
        <v>2017</v>
      </c>
      <c r="C498" s="59" t="s">
        <v>919</v>
      </c>
      <c r="D498" s="59" t="s">
        <v>920</v>
      </c>
      <c r="E498" s="86"/>
      <c r="F498" s="130"/>
      <c r="G498" s="134" t="s">
        <v>127</v>
      </c>
    </row>
    <row r="499" spans="1:7" s="131" customFormat="1" ht="49.95" customHeight="1" x14ac:dyDescent="0.3">
      <c r="A499" s="66">
        <f t="shared" si="10"/>
        <v>1068</v>
      </c>
      <c r="B499" s="59">
        <v>2020</v>
      </c>
      <c r="C499" s="59" t="s">
        <v>921</v>
      </c>
      <c r="D499" s="59" t="s">
        <v>922</v>
      </c>
      <c r="E499" s="86" t="s">
        <v>923</v>
      </c>
      <c r="F499" s="85" t="s">
        <v>261</v>
      </c>
      <c r="G499" s="94"/>
    </row>
    <row r="500" spans="1:7" s="131" customFormat="1" ht="49.95" customHeight="1" x14ac:dyDescent="0.3">
      <c r="A500" s="66">
        <f t="shared" si="10"/>
        <v>1069</v>
      </c>
      <c r="B500" s="59">
        <v>2021</v>
      </c>
      <c r="C500" s="59" t="s">
        <v>924</v>
      </c>
      <c r="D500" s="59" t="s">
        <v>925</v>
      </c>
      <c r="E500" s="86" t="s">
        <v>926</v>
      </c>
      <c r="F500" s="85" t="s">
        <v>927</v>
      </c>
      <c r="G500" s="94"/>
    </row>
    <row r="501" spans="1:7" s="131" customFormat="1" ht="49.95" customHeight="1" x14ac:dyDescent="0.3">
      <c r="A501" s="66">
        <f t="shared" si="10"/>
        <v>1070</v>
      </c>
      <c r="B501" s="59">
        <v>2021</v>
      </c>
      <c r="C501" s="59" t="s">
        <v>928</v>
      </c>
      <c r="D501" s="59" t="s">
        <v>929</v>
      </c>
      <c r="E501" s="86" t="s">
        <v>930</v>
      </c>
      <c r="F501" s="85" t="s">
        <v>261</v>
      </c>
      <c r="G501" s="94"/>
    </row>
    <row r="502" spans="1:7" s="131" customFormat="1" ht="49.95" customHeight="1" x14ac:dyDescent="0.3">
      <c r="A502" s="66">
        <f t="shared" ref="A502:A531" si="11">SUM(A501,1)</f>
        <v>1071</v>
      </c>
      <c r="B502" s="59">
        <v>2021</v>
      </c>
      <c r="C502" s="59" t="s">
        <v>931</v>
      </c>
      <c r="D502" s="59" t="s">
        <v>932</v>
      </c>
      <c r="E502" s="86" t="s">
        <v>933</v>
      </c>
      <c r="F502" s="85" t="s">
        <v>49</v>
      </c>
      <c r="G502" s="94"/>
    </row>
    <row r="503" spans="1:7" s="131" customFormat="1" ht="49.95" customHeight="1" x14ac:dyDescent="0.3">
      <c r="A503" s="66">
        <f t="shared" si="11"/>
        <v>1072</v>
      </c>
      <c r="B503" s="59">
        <v>2021</v>
      </c>
      <c r="C503" s="59" t="s">
        <v>934</v>
      </c>
      <c r="D503" s="59" t="s">
        <v>935</v>
      </c>
      <c r="E503" s="86"/>
      <c r="F503" s="85" t="s">
        <v>49</v>
      </c>
      <c r="G503" s="94"/>
    </row>
    <row r="504" spans="1:7" s="131" customFormat="1" ht="49.95" customHeight="1" x14ac:dyDescent="0.3">
      <c r="A504" s="66">
        <f t="shared" si="11"/>
        <v>1073</v>
      </c>
      <c r="B504" s="59">
        <v>2022</v>
      </c>
      <c r="C504" s="59" t="s">
        <v>936</v>
      </c>
      <c r="D504" s="59" t="s">
        <v>937</v>
      </c>
      <c r="E504" s="86" t="s">
        <v>938</v>
      </c>
      <c r="F504" s="85" t="s">
        <v>49</v>
      </c>
      <c r="G504" s="94"/>
    </row>
    <row r="505" spans="1:7" s="131" customFormat="1" ht="49.95" customHeight="1" x14ac:dyDescent="0.3">
      <c r="A505" s="66">
        <f t="shared" si="11"/>
        <v>1074</v>
      </c>
      <c r="B505" s="59">
        <v>2019</v>
      </c>
      <c r="C505" s="59" t="s">
        <v>939</v>
      </c>
      <c r="D505" s="59" t="s">
        <v>940</v>
      </c>
      <c r="E505" s="26"/>
      <c r="F505" s="85" t="s">
        <v>145</v>
      </c>
      <c r="G505" s="114"/>
    </row>
    <row r="506" spans="1:7" s="131" customFormat="1" ht="49.95" customHeight="1" x14ac:dyDescent="0.3">
      <c r="A506" s="66">
        <f t="shared" si="11"/>
        <v>1075</v>
      </c>
      <c r="B506" s="59">
        <v>2016</v>
      </c>
      <c r="C506" s="59" t="s">
        <v>941</v>
      </c>
      <c r="D506" s="59" t="s">
        <v>942</v>
      </c>
      <c r="E506" s="93" t="s">
        <v>943</v>
      </c>
      <c r="F506" s="85" t="s">
        <v>49</v>
      </c>
      <c r="G506" s="94"/>
    </row>
    <row r="507" spans="1:7" s="131" customFormat="1" ht="49.95" customHeight="1" x14ac:dyDescent="0.3">
      <c r="A507" s="66">
        <f t="shared" si="11"/>
        <v>1076</v>
      </c>
      <c r="B507" s="59">
        <v>2017</v>
      </c>
      <c r="C507" s="59" t="s">
        <v>944</v>
      </c>
      <c r="D507" s="59" t="s">
        <v>945</v>
      </c>
      <c r="E507" s="86" t="s">
        <v>946</v>
      </c>
      <c r="F507" s="85" t="s">
        <v>261</v>
      </c>
      <c r="G507" s="94"/>
    </row>
    <row r="508" spans="1:7" s="131" customFormat="1" ht="49.95" customHeight="1" x14ac:dyDescent="0.3">
      <c r="A508" s="66">
        <f t="shared" si="11"/>
        <v>1077</v>
      </c>
      <c r="B508" s="59">
        <v>2015</v>
      </c>
      <c r="C508" s="59" t="s">
        <v>947</v>
      </c>
      <c r="D508" s="59" t="s">
        <v>948</v>
      </c>
      <c r="E508" s="86"/>
      <c r="F508" s="85" t="s">
        <v>261</v>
      </c>
      <c r="G508" s="94"/>
    </row>
    <row r="509" spans="1:7" s="131" customFormat="1" ht="49.95" customHeight="1" x14ac:dyDescent="0.3">
      <c r="A509" s="66">
        <f t="shared" si="11"/>
        <v>1078</v>
      </c>
      <c r="B509" s="59">
        <v>2016</v>
      </c>
      <c r="C509" s="59" t="s">
        <v>949</v>
      </c>
      <c r="D509" s="59" t="s">
        <v>352</v>
      </c>
      <c r="E509" s="26"/>
      <c r="F509" s="85" t="s">
        <v>184</v>
      </c>
      <c r="G509" s="114"/>
    </row>
    <row r="510" spans="1:7" s="131" customFormat="1" ht="49.95" customHeight="1" x14ac:dyDescent="0.3">
      <c r="A510" s="66">
        <f t="shared" si="11"/>
        <v>1079</v>
      </c>
      <c r="B510" s="59">
        <v>2019</v>
      </c>
      <c r="C510" s="59" t="s">
        <v>950</v>
      </c>
      <c r="D510" s="59" t="s">
        <v>951</v>
      </c>
      <c r="E510" s="86" t="s">
        <v>952</v>
      </c>
      <c r="F510" s="85" t="s">
        <v>261</v>
      </c>
      <c r="G510" s="94"/>
    </row>
    <row r="511" spans="1:7" s="131" customFormat="1" ht="49.95" customHeight="1" x14ac:dyDescent="0.3">
      <c r="A511" s="66">
        <f t="shared" si="11"/>
        <v>1080</v>
      </c>
      <c r="B511" s="59" t="s">
        <v>216</v>
      </c>
      <c r="C511" s="59" t="s">
        <v>953</v>
      </c>
      <c r="D511" s="59" t="s">
        <v>954</v>
      </c>
      <c r="E511" s="26"/>
      <c r="F511" s="85" t="s">
        <v>145</v>
      </c>
      <c r="G511" s="114"/>
    </row>
    <row r="512" spans="1:7" s="131" customFormat="1" ht="49.95" customHeight="1" x14ac:dyDescent="0.3">
      <c r="A512" s="66">
        <f t="shared" si="11"/>
        <v>1081</v>
      </c>
      <c r="B512" s="59" t="s">
        <v>216</v>
      </c>
      <c r="C512" s="59" t="s">
        <v>953</v>
      </c>
      <c r="D512" s="59" t="s">
        <v>955</v>
      </c>
      <c r="E512" s="26"/>
      <c r="F512" s="85" t="s">
        <v>145</v>
      </c>
      <c r="G512" s="114"/>
    </row>
    <row r="513" spans="1:7" s="131" customFormat="1" ht="49.95" customHeight="1" x14ac:dyDescent="0.3">
      <c r="A513" s="66">
        <f t="shared" si="11"/>
        <v>1082</v>
      </c>
      <c r="B513" s="59" t="s">
        <v>216</v>
      </c>
      <c r="C513" s="59" t="s">
        <v>953</v>
      </c>
      <c r="D513" s="59" t="s">
        <v>956</v>
      </c>
      <c r="E513" s="26"/>
      <c r="F513" s="85" t="s">
        <v>145</v>
      </c>
      <c r="G513" s="114"/>
    </row>
    <row r="514" spans="1:7" s="131" customFormat="1" ht="49.95" customHeight="1" x14ac:dyDescent="0.3">
      <c r="A514" s="66">
        <f t="shared" si="11"/>
        <v>1083</v>
      </c>
      <c r="B514" s="59" t="s">
        <v>216</v>
      </c>
      <c r="C514" s="59" t="s">
        <v>957</v>
      </c>
      <c r="D514" s="59" t="s">
        <v>958</v>
      </c>
      <c r="E514" s="26"/>
      <c r="F514" s="85" t="s">
        <v>145</v>
      </c>
      <c r="G514" s="114"/>
    </row>
    <row r="515" spans="1:7" s="131" customFormat="1" ht="49.95" customHeight="1" x14ac:dyDescent="0.3">
      <c r="A515" s="66">
        <f t="shared" si="11"/>
        <v>1084</v>
      </c>
      <c r="B515" s="59">
        <v>2014</v>
      </c>
      <c r="C515" s="59" t="s">
        <v>959</v>
      </c>
      <c r="D515" s="59" t="s">
        <v>960</v>
      </c>
      <c r="E515" s="26"/>
      <c r="F515" s="85" t="s">
        <v>67</v>
      </c>
      <c r="G515" s="114"/>
    </row>
    <row r="516" spans="1:7" s="131" customFormat="1" ht="49.95" customHeight="1" x14ac:dyDescent="0.3">
      <c r="A516" s="66">
        <f t="shared" si="11"/>
        <v>1085</v>
      </c>
      <c r="B516" s="59">
        <v>2013</v>
      </c>
      <c r="C516" s="59" t="s">
        <v>961</v>
      </c>
      <c r="D516" s="59" t="s">
        <v>962</v>
      </c>
      <c r="E516" s="26"/>
      <c r="F516" s="85" t="s">
        <v>67</v>
      </c>
      <c r="G516" s="114"/>
    </row>
    <row r="517" spans="1:7" s="131" customFormat="1" ht="49.95" customHeight="1" x14ac:dyDescent="0.3">
      <c r="A517" s="66">
        <f t="shared" si="11"/>
        <v>1086</v>
      </c>
      <c r="B517" s="59">
        <v>2023</v>
      </c>
      <c r="C517" s="59" t="s">
        <v>963</v>
      </c>
      <c r="D517" s="59" t="s">
        <v>964</v>
      </c>
      <c r="E517" s="86"/>
      <c r="F517" s="130"/>
      <c r="G517" s="134" t="s">
        <v>331</v>
      </c>
    </row>
    <row r="518" spans="1:7" s="131" customFormat="1" ht="49.95" customHeight="1" x14ac:dyDescent="0.3">
      <c r="A518" s="66">
        <f t="shared" si="11"/>
        <v>1087</v>
      </c>
      <c r="B518" s="59">
        <v>2015</v>
      </c>
      <c r="C518" s="59" t="s">
        <v>965</v>
      </c>
      <c r="D518" s="59" t="s">
        <v>966</v>
      </c>
      <c r="E518" s="26"/>
      <c r="F518" s="85" t="s">
        <v>184</v>
      </c>
      <c r="G518" s="114"/>
    </row>
    <row r="519" spans="1:7" s="131" customFormat="1" ht="49.95" customHeight="1" x14ac:dyDescent="0.3">
      <c r="A519" s="66">
        <f t="shared" si="11"/>
        <v>1088</v>
      </c>
      <c r="B519" s="59">
        <v>2025</v>
      </c>
      <c r="C519" s="59" t="s">
        <v>967</v>
      </c>
      <c r="D519" s="59" t="s">
        <v>968</v>
      </c>
      <c r="E519" s="86"/>
      <c r="F519" s="130"/>
      <c r="G519" s="134" t="s">
        <v>127</v>
      </c>
    </row>
    <row r="520" spans="1:7" s="131" customFormat="1" ht="49.95" customHeight="1" x14ac:dyDescent="0.3">
      <c r="A520" s="66">
        <f t="shared" si="11"/>
        <v>1089</v>
      </c>
      <c r="B520" s="59">
        <v>2024</v>
      </c>
      <c r="C520" s="59" t="s">
        <v>969</v>
      </c>
      <c r="D520" s="59" t="s">
        <v>970</v>
      </c>
      <c r="E520" s="26"/>
      <c r="F520" s="85" t="s">
        <v>184</v>
      </c>
      <c r="G520" s="114"/>
    </row>
    <row r="521" spans="1:7" s="131" customFormat="1" ht="49.95" customHeight="1" x14ac:dyDescent="0.3">
      <c r="A521" s="66">
        <f t="shared" si="11"/>
        <v>1090</v>
      </c>
      <c r="B521" s="59">
        <v>2025</v>
      </c>
      <c r="C521" s="59" t="s">
        <v>971</v>
      </c>
      <c r="D521" s="59" t="s">
        <v>972</v>
      </c>
      <c r="E521" s="86"/>
      <c r="F521" s="130"/>
      <c r="G521" s="134" t="s">
        <v>127</v>
      </c>
    </row>
    <row r="522" spans="1:7" s="131" customFormat="1" ht="49.95" customHeight="1" x14ac:dyDescent="0.3">
      <c r="A522" s="66">
        <f t="shared" si="11"/>
        <v>1091</v>
      </c>
      <c r="B522" s="59">
        <v>2025</v>
      </c>
      <c r="C522" s="59" t="s">
        <v>973</v>
      </c>
      <c r="D522" s="59" t="s">
        <v>974</v>
      </c>
      <c r="E522" s="86"/>
      <c r="F522" s="130"/>
      <c r="G522" s="134" t="s">
        <v>331</v>
      </c>
    </row>
    <row r="523" spans="1:7" s="131" customFormat="1" ht="49.95" customHeight="1" x14ac:dyDescent="0.3">
      <c r="A523" s="66">
        <f t="shared" si="11"/>
        <v>1092</v>
      </c>
      <c r="B523" s="59">
        <v>2025</v>
      </c>
      <c r="C523" s="59" t="s">
        <v>975</v>
      </c>
      <c r="D523" s="59" t="s">
        <v>976</v>
      </c>
      <c r="E523" s="86"/>
      <c r="F523" s="130"/>
      <c r="G523" s="134" t="s">
        <v>331</v>
      </c>
    </row>
    <row r="524" spans="1:7" s="131" customFormat="1" ht="49.95" customHeight="1" x14ac:dyDescent="0.3">
      <c r="A524" s="66">
        <f t="shared" si="11"/>
        <v>1093</v>
      </c>
      <c r="B524" s="59">
        <v>2025</v>
      </c>
      <c r="C524" s="59" t="s">
        <v>977</v>
      </c>
      <c r="D524" s="59" t="s">
        <v>978</v>
      </c>
      <c r="E524" s="86"/>
      <c r="F524" s="130"/>
      <c r="G524" s="134" t="s">
        <v>127</v>
      </c>
    </row>
    <row r="525" spans="1:7" s="131" customFormat="1" ht="49.95" customHeight="1" x14ac:dyDescent="0.3">
      <c r="A525" s="66">
        <f t="shared" si="11"/>
        <v>1094</v>
      </c>
      <c r="B525" s="59">
        <v>2025</v>
      </c>
      <c r="C525" s="59" t="s">
        <v>979</v>
      </c>
      <c r="D525" s="59" t="s">
        <v>980</v>
      </c>
      <c r="E525" s="86"/>
      <c r="F525" s="130"/>
      <c r="G525" s="134" t="s">
        <v>127</v>
      </c>
    </row>
    <row r="526" spans="1:7" s="131" customFormat="1" ht="49.95" customHeight="1" x14ac:dyDescent="0.3">
      <c r="A526" s="66">
        <f t="shared" si="11"/>
        <v>1095</v>
      </c>
      <c r="B526" s="59">
        <v>2025</v>
      </c>
      <c r="C526" s="59" t="s">
        <v>981</v>
      </c>
      <c r="D526" s="59" t="s">
        <v>982</v>
      </c>
      <c r="E526" s="86"/>
      <c r="F526" s="130"/>
      <c r="G526" s="134" t="s">
        <v>331</v>
      </c>
    </row>
    <row r="527" spans="1:7" s="131" customFormat="1" ht="49.95" customHeight="1" x14ac:dyDescent="0.3">
      <c r="A527" s="66">
        <f t="shared" si="11"/>
        <v>1096</v>
      </c>
      <c r="B527" s="59">
        <v>2025</v>
      </c>
      <c r="C527" s="59" t="s">
        <v>983</v>
      </c>
      <c r="D527" s="59" t="s">
        <v>984</v>
      </c>
      <c r="E527" s="86"/>
      <c r="F527" s="130"/>
      <c r="G527" s="134" t="s">
        <v>127</v>
      </c>
    </row>
    <row r="528" spans="1:7" s="131" customFormat="1" ht="49.95" customHeight="1" x14ac:dyDescent="0.3">
      <c r="A528" s="66">
        <f t="shared" si="11"/>
        <v>1097</v>
      </c>
      <c r="B528" s="59">
        <v>2025</v>
      </c>
      <c r="C528" s="59" t="s">
        <v>985</v>
      </c>
      <c r="D528" s="59" t="s">
        <v>986</v>
      </c>
      <c r="E528" s="86"/>
      <c r="F528" s="130"/>
      <c r="G528" s="134"/>
    </row>
    <row r="529" spans="1:75" s="131" customFormat="1" ht="49.95" customHeight="1" x14ac:dyDescent="0.3">
      <c r="A529" s="66">
        <f t="shared" si="11"/>
        <v>1098</v>
      </c>
      <c r="B529" s="59" t="s">
        <v>216</v>
      </c>
      <c r="C529" s="59" t="s">
        <v>987</v>
      </c>
      <c r="D529" s="59" t="s">
        <v>988</v>
      </c>
      <c r="E529" s="86"/>
      <c r="F529" s="108" t="s">
        <v>1725</v>
      </c>
      <c r="G529" s="94"/>
    </row>
    <row r="530" spans="1:75" s="131" customFormat="1" ht="49.95" customHeight="1" x14ac:dyDescent="0.3">
      <c r="A530" s="66">
        <f t="shared" si="11"/>
        <v>1099</v>
      </c>
      <c r="B530" s="59">
        <v>2024</v>
      </c>
      <c r="C530" s="59" t="s">
        <v>989</v>
      </c>
      <c r="D530" s="59" t="s">
        <v>990</v>
      </c>
      <c r="E530" s="86" t="s">
        <v>991</v>
      </c>
      <c r="F530" s="137" t="s">
        <v>992</v>
      </c>
      <c r="G530" s="94"/>
    </row>
    <row r="531" spans="1:75" s="131" customFormat="1" ht="49.95" customHeight="1" x14ac:dyDescent="0.3">
      <c r="A531" s="66">
        <f t="shared" si="11"/>
        <v>1100</v>
      </c>
      <c r="B531" s="59">
        <v>2025</v>
      </c>
      <c r="C531" s="59" t="s">
        <v>993</v>
      </c>
      <c r="D531" s="59" t="s">
        <v>994</v>
      </c>
      <c r="E531" s="86" t="s">
        <v>995</v>
      </c>
      <c r="F531" s="85" t="s">
        <v>49</v>
      </c>
      <c r="G531" s="94"/>
    </row>
    <row r="532" spans="1:75" ht="23.4" x14ac:dyDescent="0.45">
      <c r="A532" s="44" t="s">
        <v>0</v>
      </c>
      <c r="B532" s="44" t="s">
        <v>1</v>
      </c>
      <c r="C532" s="44" t="s">
        <v>2</v>
      </c>
      <c r="D532" s="44" t="s">
        <v>3</v>
      </c>
      <c r="E532" s="44" t="s">
        <v>4</v>
      </c>
      <c r="F532" s="118" t="s">
        <v>5</v>
      </c>
      <c r="G532" s="47"/>
      <c r="H532" s="185"/>
      <c r="I532" s="185"/>
      <c r="J532" s="185"/>
      <c r="K532" s="187"/>
      <c r="L532" s="188"/>
      <c r="M532" s="189"/>
      <c r="N532" s="188"/>
      <c r="O532" s="185"/>
      <c r="P532" s="189"/>
      <c r="Q532" s="186"/>
      <c r="R532" s="186"/>
      <c r="S532" s="186"/>
      <c r="T532" s="186"/>
      <c r="U532" s="186"/>
      <c r="V532" s="186"/>
      <c r="W532" s="186"/>
      <c r="X532" s="186"/>
      <c r="Y532" s="186"/>
      <c r="Z532" s="186"/>
      <c r="AA532" s="186"/>
      <c r="AB532" s="186"/>
      <c r="AC532" s="186"/>
      <c r="AD532" s="186"/>
      <c r="AE532" s="186"/>
      <c r="AF532" s="186"/>
      <c r="AG532" s="186"/>
      <c r="AH532" s="186"/>
      <c r="AI532" s="186"/>
      <c r="AJ532" s="186"/>
      <c r="AK532" s="186"/>
      <c r="AL532" s="186"/>
      <c r="AM532" s="186"/>
      <c r="AN532" s="186"/>
      <c r="AO532" s="186"/>
      <c r="AP532" s="186"/>
      <c r="AQ532" s="186"/>
      <c r="AR532" s="186"/>
      <c r="AS532" s="186"/>
      <c r="AT532" s="186"/>
      <c r="AU532" s="186"/>
      <c r="AV532" s="186"/>
      <c r="AW532" s="186"/>
      <c r="AX532" s="186"/>
      <c r="AY532" s="186"/>
      <c r="AZ532" s="186"/>
      <c r="BA532" s="186"/>
      <c r="BB532" s="186"/>
      <c r="BC532" s="186"/>
      <c r="BD532" s="186"/>
      <c r="BE532" s="186"/>
      <c r="BF532" s="186"/>
      <c r="BG532" s="186"/>
      <c r="BH532" s="186"/>
      <c r="BI532" s="186"/>
      <c r="BJ532" s="186"/>
      <c r="BK532" s="186"/>
      <c r="BL532" s="186"/>
      <c r="BM532" s="186"/>
      <c r="BN532" s="186"/>
      <c r="BO532" s="186"/>
      <c r="BP532" s="186"/>
      <c r="BQ532" s="186"/>
      <c r="BR532" s="186"/>
      <c r="BS532" s="186"/>
      <c r="BT532" s="186"/>
      <c r="BU532" s="186"/>
      <c r="BV532" s="186"/>
      <c r="BW532" s="186"/>
    </row>
    <row r="533" spans="1:75" ht="31.2" x14ac:dyDescent="0.3">
      <c r="A533" s="169">
        <v>138</v>
      </c>
      <c r="B533" s="170">
        <v>2019</v>
      </c>
      <c r="C533" s="171" t="s">
        <v>1624</v>
      </c>
      <c r="D533" s="170" t="s">
        <v>778</v>
      </c>
      <c r="E533" s="111"/>
      <c r="F533" s="112"/>
      <c r="G533" s="141"/>
      <c r="H533" s="186"/>
      <c r="I533" s="186"/>
      <c r="J533" s="186"/>
      <c r="K533" s="186"/>
      <c r="L533" s="186"/>
      <c r="M533" s="186"/>
      <c r="N533" s="186"/>
      <c r="O533" s="186"/>
      <c r="P533" s="186"/>
      <c r="Q533" s="186"/>
      <c r="R533" s="186"/>
      <c r="S533" s="186"/>
      <c r="T533" s="186"/>
      <c r="U533" s="186"/>
      <c r="V533" s="186"/>
      <c r="W533" s="186"/>
      <c r="X533" s="186"/>
      <c r="Y533" s="186"/>
      <c r="Z533" s="186"/>
      <c r="AA533" s="186"/>
      <c r="AB533" s="186"/>
      <c r="AC533" s="186"/>
      <c r="AD533" s="186"/>
      <c r="AE533" s="186"/>
      <c r="AF533" s="186"/>
      <c r="AG533" s="186"/>
      <c r="AH533" s="186"/>
      <c r="AI533" s="186"/>
      <c r="AJ533" s="186"/>
      <c r="AK533" s="186"/>
      <c r="AL533" s="186"/>
      <c r="AM533" s="186"/>
      <c r="AN533" s="186"/>
      <c r="AO533" s="186"/>
      <c r="AP533" s="186"/>
      <c r="AQ533" s="186"/>
      <c r="AR533" s="186"/>
      <c r="AS533" s="186"/>
      <c r="AT533" s="186"/>
      <c r="AU533" s="186"/>
      <c r="AV533" s="186"/>
      <c r="AW533" s="186"/>
      <c r="AX533" s="186"/>
      <c r="AY533" s="186"/>
      <c r="AZ533" s="186"/>
      <c r="BA533" s="186"/>
      <c r="BB533" s="186"/>
      <c r="BC533" s="186"/>
      <c r="BD533" s="186"/>
      <c r="BE533" s="186"/>
      <c r="BF533" s="186"/>
      <c r="BG533" s="186"/>
      <c r="BH533" s="186"/>
      <c r="BI533" s="186"/>
      <c r="BJ533" s="186"/>
      <c r="BK533" s="186"/>
      <c r="BL533" s="186"/>
      <c r="BM533" s="186"/>
      <c r="BN533" s="186"/>
      <c r="BO533" s="186"/>
      <c r="BP533" s="186"/>
      <c r="BQ533" s="186"/>
      <c r="BR533" s="186"/>
      <c r="BS533" s="186"/>
      <c r="BT533" s="186"/>
      <c r="BU533" s="186"/>
      <c r="BV533" s="186"/>
      <c r="BW533" s="186"/>
    </row>
    <row r="534" spans="1:75" s="4" customFormat="1" ht="100.2" customHeight="1" x14ac:dyDescent="0.45">
      <c r="A534" s="208" t="s">
        <v>10</v>
      </c>
      <c r="B534" s="209"/>
      <c r="C534" s="209"/>
      <c r="D534" s="209"/>
      <c r="E534" s="210"/>
      <c r="F534" s="205" t="s">
        <v>1733</v>
      </c>
      <c r="G534" s="200"/>
      <c r="H534" s="184"/>
      <c r="I534" s="184"/>
      <c r="J534" s="184"/>
      <c r="K534" s="184"/>
      <c r="L534" s="184"/>
      <c r="M534" s="184"/>
      <c r="N534" s="184"/>
      <c r="O534" s="184"/>
      <c r="P534" s="184"/>
      <c r="Q534" s="184"/>
      <c r="R534" s="184"/>
      <c r="S534" s="184"/>
      <c r="T534" s="184"/>
      <c r="U534" s="184"/>
      <c r="V534" s="184"/>
      <c r="W534" s="184"/>
      <c r="X534" s="184"/>
      <c r="Y534" s="184"/>
      <c r="Z534" s="184"/>
      <c r="AA534" s="184"/>
      <c r="AB534" s="184"/>
      <c r="AC534" s="184"/>
      <c r="AD534" s="184"/>
      <c r="AE534" s="184"/>
      <c r="AF534" s="184"/>
      <c r="AG534" s="184"/>
      <c r="AH534" s="184"/>
      <c r="AI534" s="184"/>
      <c r="AJ534" s="184"/>
      <c r="AK534" s="184"/>
      <c r="AL534" s="184"/>
      <c r="AM534" s="184"/>
      <c r="AN534" s="184"/>
      <c r="AO534" s="184"/>
      <c r="AP534" s="184"/>
      <c r="AQ534" s="184"/>
      <c r="AR534" s="184"/>
      <c r="AS534" s="184"/>
      <c r="AT534" s="184"/>
      <c r="AU534" s="184"/>
      <c r="AV534" s="184"/>
      <c r="AW534" s="184"/>
      <c r="AX534" s="184"/>
      <c r="AY534" s="184"/>
      <c r="AZ534" s="184"/>
      <c r="BA534" s="184"/>
      <c r="BB534" s="184"/>
      <c r="BC534" s="184"/>
      <c r="BD534" s="184"/>
      <c r="BE534" s="184"/>
      <c r="BF534" s="184"/>
      <c r="BG534" s="184"/>
      <c r="BH534" s="184"/>
      <c r="BI534" s="184"/>
      <c r="BJ534" s="184"/>
      <c r="BK534" s="184"/>
      <c r="BL534" s="184"/>
      <c r="BM534" s="184"/>
      <c r="BN534" s="184"/>
      <c r="BO534" s="184"/>
      <c r="BP534" s="184"/>
      <c r="BQ534" s="184"/>
      <c r="BR534" s="184"/>
      <c r="BS534" s="184"/>
      <c r="BT534" s="184"/>
      <c r="BU534" s="184"/>
      <c r="BV534" s="184"/>
      <c r="BW534" s="184"/>
    </row>
    <row r="535" spans="1:75" s="9" customFormat="1" ht="100.2" customHeight="1" x14ac:dyDescent="0.45">
      <c r="A535" s="208"/>
      <c r="B535" s="209"/>
      <c r="C535" s="209"/>
      <c r="D535" s="209"/>
      <c r="E535" s="210"/>
      <c r="F535" s="206"/>
      <c r="G535" s="202"/>
      <c r="H535" s="184"/>
      <c r="I535" s="184"/>
      <c r="J535" s="184"/>
      <c r="K535" s="184"/>
      <c r="L535" s="184"/>
      <c r="M535" s="184"/>
      <c r="N535" s="184"/>
      <c r="O535" s="184"/>
      <c r="P535" s="184"/>
      <c r="Q535" s="184"/>
      <c r="R535" s="184"/>
      <c r="S535" s="184"/>
      <c r="T535" s="184"/>
      <c r="U535" s="184"/>
      <c r="V535" s="184"/>
      <c r="W535" s="184"/>
      <c r="X535" s="184"/>
      <c r="Y535" s="184"/>
      <c r="Z535" s="184"/>
      <c r="AA535" s="184"/>
      <c r="AB535" s="184"/>
      <c r="AC535" s="184"/>
      <c r="AD535" s="184"/>
      <c r="AE535" s="184"/>
      <c r="AF535" s="184"/>
      <c r="AG535" s="184"/>
      <c r="AH535" s="184"/>
      <c r="AI535" s="184"/>
      <c r="AJ535" s="184"/>
      <c r="AK535" s="184"/>
      <c r="AL535" s="184"/>
      <c r="AM535" s="184"/>
      <c r="AN535" s="184"/>
      <c r="AO535" s="184"/>
      <c r="AP535" s="184"/>
      <c r="AQ535" s="184"/>
      <c r="AR535" s="184"/>
      <c r="AS535" s="184"/>
      <c r="AT535" s="184"/>
      <c r="AU535" s="184"/>
      <c r="AV535" s="184"/>
      <c r="AW535" s="184"/>
      <c r="AX535" s="184"/>
      <c r="AY535" s="184"/>
      <c r="AZ535" s="184"/>
      <c r="BA535" s="184"/>
      <c r="BB535" s="184"/>
      <c r="BC535" s="184"/>
      <c r="BD535" s="184"/>
      <c r="BE535" s="184"/>
      <c r="BF535" s="184"/>
      <c r="BG535" s="184"/>
      <c r="BH535" s="184"/>
      <c r="BI535" s="184"/>
      <c r="BJ535" s="184"/>
      <c r="BK535" s="184"/>
      <c r="BL535" s="184"/>
      <c r="BM535" s="184"/>
      <c r="BN535" s="184"/>
      <c r="BO535" s="184"/>
      <c r="BP535" s="184"/>
      <c r="BQ535" s="184"/>
      <c r="BR535" s="184"/>
      <c r="BS535" s="184"/>
      <c r="BT535" s="184"/>
      <c r="BU535" s="184"/>
      <c r="BV535" s="184"/>
      <c r="BW535" s="184"/>
    </row>
    <row r="536" spans="1:75" s="4" customFormat="1" ht="30" customHeight="1" x14ac:dyDescent="0.45">
      <c r="A536" s="208"/>
      <c r="B536" s="209"/>
      <c r="C536" s="209"/>
      <c r="D536" s="209"/>
      <c r="E536" s="210"/>
      <c r="F536" s="207"/>
      <c r="G536" s="204"/>
      <c r="H536" s="184"/>
      <c r="I536" s="184"/>
      <c r="J536" s="184"/>
      <c r="K536" s="184"/>
      <c r="L536" s="184"/>
      <c r="M536" s="184"/>
      <c r="N536" s="184"/>
      <c r="O536" s="184"/>
      <c r="P536" s="184"/>
      <c r="Q536" s="184"/>
      <c r="R536" s="184"/>
      <c r="S536" s="184"/>
      <c r="T536" s="184"/>
      <c r="U536" s="184"/>
      <c r="V536" s="184"/>
      <c r="W536" s="184"/>
      <c r="X536" s="184"/>
      <c r="Y536" s="184"/>
      <c r="Z536" s="184"/>
      <c r="AA536" s="184"/>
      <c r="AB536" s="184"/>
      <c r="AC536" s="184"/>
      <c r="AD536" s="184"/>
      <c r="AE536" s="184"/>
      <c r="AF536" s="184"/>
      <c r="AG536" s="184"/>
      <c r="AH536" s="184"/>
      <c r="AI536" s="184"/>
      <c r="AJ536" s="184"/>
      <c r="AK536" s="184"/>
      <c r="AL536" s="184"/>
      <c r="AM536" s="184"/>
      <c r="AN536" s="184"/>
      <c r="AO536" s="184"/>
      <c r="AP536" s="184"/>
      <c r="AQ536" s="184"/>
      <c r="AR536" s="184"/>
      <c r="AS536" s="184"/>
      <c r="AT536" s="184"/>
      <c r="AU536" s="184"/>
      <c r="AV536" s="184"/>
      <c r="AW536" s="184"/>
      <c r="AX536" s="184"/>
      <c r="AY536" s="184"/>
      <c r="AZ536" s="184"/>
      <c r="BA536" s="184"/>
      <c r="BB536" s="184"/>
      <c r="BC536" s="184"/>
      <c r="BD536" s="184"/>
      <c r="BE536" s="184"/>
      <c r="BF536" s="184"/>
      <c r="BG536" s="184"/>
      <c r="BH536" s="184"/>
      <c r="BI536" s="184"/>
      <c r="BJ536" s="184"/>
      <c r="BK536" s="184"/>
      <c r="BL536" s="184"/>
      <c r="BM536" s="184"/>
      <c r="BN536" s="184"/>
      <c r="BO536" s="184"/>
      <c r="BP536" s="184"/>
      <c r="BQ536" s="184"/>
      <c r="BR536" s="184"/>
      <c r="BS536" s="184"/>
      <c r="BT536" s="184"/>
      <c r="BU536" s="184"/>
      <c r="BV536" s="184"/>
      <c r="BW536" s="184"/>
    </row>
    <row r="537" spans="1:75" s="9" customFormat="1" ht="100.2" customHeight="1" x14ac:dyDescent="0.45">
      <c r="A537" s="56" t="s">
        <v>12</v>
      </c>
      <c r="B537" s="55" t="s">
        <v>13</v>
      </c>
      <c r="C537" s="55" t="s">
        <v>14</v>
      </c>
      <c r="D537" s="55" t="s">
        <v>15</v>
      </c>
      <c r="E537" s="57" t="s">
        <v>16</v>
      </c>
      <c r="F537" s="56" t="s">
        <v>1735</v>
      </c>
      <c r="G537" s="55" t="s">
        <v>1737</v>
      </c>
      <c r="H537" s="184"/>
      <c r="I537" s="184"/>
      <c r="J537" s="184"/>
      <c r="K537" s="184"/>
      <c r="L537" s="184"/>
      <c r="M537" s="184"/>
      <c r="N537" s="184"/>
      <c r="O537" s="184"/>
      <c r="P537" s="184"/>
      <c r="Q537" s="184"/>
      <c r="R537" s="184"/>
      <c r="S537" s="184"/>
      <c r="T537" s="184"/>
      <c r="U537" s="184"/>
      <c r="V537" s="184"/>
      <c r="W537" s="184"/>
      <c r="X537" s="184"/>
      <c r="Y537" s="184"/>
      <c r="Z537" s="184"/>
      <c r="AA537" s="184"/>
      <c r="AB537" s="184"/>
      <c r="AC537" s="184"/>
      <c r="AD537" s="184"/>
      <c r="AE537" s="184"/>
      <c r="AF537" s="184"/>
      <c r="AG537" s="184"/>
      <c r="AH537" s="184"/>
      <c r="AI537" s="184"/>
      <c r="AJ537" s="184"/>
      <c r="AK537" s="184"/>
      <c r="AL537" s="184"/>
      <c r="AM537" s="184"/>
      <c r="AN537" s="184"/>
      <c r="AO537" s="184"/>
      <c r="AP537" s="184"/>
      <c r="AQ537" s="184"/>
      <c r="AR537" s="184"/>
      <c r="AS537" s="184"/>
      <c r="AT537" s="184"/>
      <c r="AU537" s="184"/>
      <c r="AV537" s="184"/>
      <c r="AW537" s="184"/>
      <c r="AX537" s="184"/>
      <c r="AY537" s="184"/>
      <c r="AZ537" s="184"/>
      <c r="BA537" s="184"/>
      <c r="BB537" s="184"/>
      <c r="BC537" s="184"/>
      <c r="BD537" s="184"/>
      <c r="BE537" s="184"/>
      <c r="BF537" s="184"/>
      <c r="BG537" s="184"/>
      <c r="BH537" s="184"/>
      <c r="BI537" s="184"/>
      <c r="BJ537" s="184"/>
      <c r="BK537" s="184"/>
      <c r="BL537" s="184"/>
      <c r="BM537" s="184"/>
      <c r="BN537" s="184"/>
      <c r="BO537" s="184"/>
      <c r="BP537" s="184"/>
      <c r="BQ537" s="184"/>
      <c r="BR537" s="184"/>
      <c r="BS537" s="184"/>
      <c r="BT537" s="184"/>
      <c r="BU537" s="184"/>
      <c r="BV537" s="184"/>
      <c r="BW537" s="184"/>
    </row>
    <row r="538" spans="1:75" s="75" customFormat="1" ht="49.95" customHeight="1" x14ac:dyDescent="0.3">
      <c r="A538" s="66">
        <v>1419</v>
      </c>
      <c r="B538" s="59">
        <v>2015</v>
      </c>
      <c r="C538" s="59" t="s">
        <v>1625</v>
      </c>
      <c r="D538" s="59" t="s">
        <v>1626</v>
      </c>
      <c r="E538" s="26"/>
      <c r="F538" s="85" t="s">
        <v>184</v>
      </c>
      <c r="G538" s="114"/>
    </row>
    <row r="539" spans="1:75" s="75" customFormat="1" ht="49.95" customHeight="1" x14ac:dyDescent="0.3">
      <c r="A539" s="66">
        <f>SUM(A538,1)</f>
        <v>1420</v>
      </c>
      <c r="B539" s="59">
        <v>2018</v>
      </c>
      <c r="C539" s="59" t="s">
        <v>1627</v>
      </c>
      <c r="D539" s="59" t="s">
        <v>50</v>
      </c>
      <c r="E539" s="26"/>
      <c r="F539" s="85" t="s">
        <v>184</v>
      </c>
      <c r="G539" s="114"/>
    </row>
    <row r="540" spans="1:75" s="75" customFormat="1" ht="49.95" customHeight="1" x14ac:dyDescent="0.3">
      <c r="A540" s="66">
        <f>SUM(A539,1)</f>
        <v>1421</v>
      </c>
      <c r="B540" s="59">
        <v>2019</v>
      </c>
      <c r="C540" s="59" t="s">
        <v>1628</v>
      </c>
      <c r="D540" s="59" t="s">
        <v>1629</v>
      </c>
      <c r="E540" s="26"/>
      <c r="F540" s="85" t="s">
        <v>145</v>
      </c>
      <c r="G540" s="114"/>
    </row>
    <row r="541" spans="1:75" s="131" customFormat="1" ht="49.95" customHeight="1" x14ac:dyDescent="0.3">
      <c r="A541" s="66">
        <f>SUM(A540,1)</f>
        <v>1422</v>
      </c>
      <c r="B541" s="59">
        <v>2008</v>
      </c>
      <c r="C541" s="59" t="s">
        <v>1630</v>
      </c>
      <c r="D541" s="59" t="s">
        <v>1631</v>
      </c>
      <c r="E541" s="26"/>
      <c r="F541" s="85" t="s">
        <v>67</v>
      </c>
      <c r="G541" s="114"/>
    </row>
    <row r="542" spans="1:75" s="131" customFormat="1" ht="49.95" customHeight="1" x14ac:dyDescent="0.3">
      <c r="A542" s="66">
        <f t="shared" ref="A542:A567" si="12">SUM(A541,1)</f>
        <v>1423</v>
      </c>
      <c r="B542" s="59">
        <v>2013</v>
      </c>
      <c r="C542" s="59" t="s">
        <v>1632</v>
      </c>
      <c r="D542" s="59" t="s">
        <v>1633</v>
      </c>
      <c r="E542" s="26"/>
      <c r="F542" s="85" t="s">
        <v>67</v>
      </c>
      <c r="G542" s="114"/>
    </row>
    <row r="543" spans="1:75" s="131" customFormat="1" ht="49.95" customHeight="1" x14ac:dyDescent="0.3">
      <c r="A543" s="66">
        <f t="shared" si="12"/>
        <v>1424</v>
      </c>
      <c r="B543" s="59">
        <v>2019</v>
      </c>
      <c r="C543" s="59" t="s">
        <v>1634</v>
      </c>
      <c r="D543" s="59" t="s">
        <v>1635</v>
      </c>
      <c r="E543" s="26"/>
      <c r="F543" s="85" t="s">
        <v>145</v>
      </c>
      <c r="G543" s="114"/>
    </row>
    <row r="544" spans="1:75" s="131" customFormat="1" ht="49.95" customHeight="1" x14ac:dyDescent="0.3">
      <c r="A544" s="66">
        <f t="shared" si="12"/>
        <v>1425</v>
      </c>
      <c r="B544" s="59">
        <v>2018</v>
      </c>
      <c r="C544" s="59" t="s">
        <v>1636</v>
      </c>
      <c r="D544" s="59" t="s">
        <v>1637</v>
      </c>
      <c r="E544" s="26"/>
      <c r="F544" s="85" t="s">
        <v>261</v>
      </c>
      <c r="G544" s="114"/>
    </row>
    <row r="545" spans="1:7" s="131" customFormat="1" ht="49.95" customHeight="1" x14ac:dyDescent="0.3">
      <c r="A545" s="66">
        <f t="shared" si="12"/>
        <v>1426</v>
      </c>
      <c r="B545" s="59">
        <v>2017</v>
      </c>
      <c r="C545" s="59" t="s">
        <v>1638</v>
      </c>
      <c r="D545" s="59" t="s">
        <v>93</v>
      </c>
      <c r="E545" s="142"/>
      <c r="F545" s="85" t="s">
        <v>184</v>
      </c>
      <c r="G545" s="114"/>
    </row>
    <row r="546" spans="1:7" s="131" customFormat="1" ht="49.95" customHeight="1" x14ac:dyDescent="0.3">
      <c r="A546" s="66">
        <f t="shared" si="12"/>
        <v>1427</v>
      </c>
      <c r="B546" s="59">
        <v>1997</v>
      </c>
      <c r="C546" s="59" t="s">
        <v>1639</v>
      </c>
      <c r="D546" s="59" t="s">
        <v>1640</v>
      </c>
      <c r="E546" s="26"/>
      <c r="F546" s="85" t="s">
        <v>67</v>
      </c>
      <c r="G546" s="114"/>
    </row>
    <row r="547" spans="1:7" s="131" customFormat="1" ht="49.95" customHeight="1" x14ac:dyDescent="0.3">
      <c r="A547" s="66">
        <f t="shared" si="12"/>
        <v>1428</v>
      </c>
      <c r="B547" s="59">
        <v>2013</v>
      </c>
      <c r="C547" s="59" t="s">
        <v>1641</v>
      </c>
      <c r="D547" s="59" t="s">
        <v>1642</v>
      </c>
      <c r="E547" s="26"/>
      <c r="F547" s="85" t="s">
        <v>67</v>
      </c>
      <c r="G547" s="114"/>
    </row>
    <row r="548" spans="1:7" s="131" customFormat="1" ht="49.95" customHeight="1" x14ac:dyDescent="0.3">
      <c r="A548" s="66">
        <f t="shared" si="12"/>
        <v>1429</v>
      </c>
      <c r="B548" s="59">
        <v>2013</v>
      </c>
      <c r="C548" s="59" t="s">
        <v>1643</v>
      </c>
      <c r="D548" s="59" t="s">
        <v>1644</v>
      </c>
      <c r="E548" s="26"/>
      <c r="F548" s="85" t="s">
        <v>67</v>
      </c>
      <c r="G548" s="114"/>
    </row>
    <row r="549" spans="1:7" s="131" customFormat="1" ht="49.95" customHeight="1" x14ac:dyDescent="0.3">
      <c r="A549" s="66">
        <f t="shared" si="12"/>
        <v>1430</v>
      </c>
      <c r="B549" s="59">
        <v>2019</v>
      </c>
      <c r="C549" s="59" t="s">
        <v>1645</v>
      </c>
      <c r="D549" s="59" t="s">
        <v>1646</v>
      </c>
      <c r="E549" s="26"/>
      <c r="F549" s="85" t="s">
        <v>184</v>
      </c>
      <c r="G549" s="114"/>
    </row>
    <row r="550" spans="1:7" s="131" customFormat="1" ht="49.95" customHeight="1" x14ac:dyDescent="0.3">
      <c r="A550" s="66">
        <f t="shared" si="12"/>
        <v>1431</v>
      </c>
      <c r="B550" s="59">
        <v>2005</v>
      </c>
      <c r="C550" s="59" t="s">
        <v>1647</v>
      </c>
      <c r="D550" s="59" t="s">
        <v>1648</v>
      </c>
      <c r="E550" s="142"/>
      <c r="F550" s="85" t="s">
        <v>67</v>
      </c>
      <c r="G550" s="114"/>
    </row>
    <row r="551" spans="1:7" s="131" customFormat="1" ht="49.95" customHeight="1" x14ac:dyDescent="0.3">
      <c r="A551" s="66">
        <f t="shared" si="12"/>
        <v>1432</v>
      </c>
      <c r="B551" s="59">
        <v>2013</v>
      </c>
      <c r="C551" s="59" t="s">
        <v>1649</v>
      </c>
      <c r="D551" s="59" t="s">
        <v>1650</v>
      </c>
      <c r="E551" s="142"/>
      <c r="F551" s="85" t="s">
        <v>67</v>
      </c>
      <c r="G551" s="114"/>
    </row>
    <row r="552" spans="1:7" s="131" customFormat="1" ht="49.95" customHeight="1" x14ac:dyDescent="0.3">
      <c r="A552" s="66">
        <f t="shared" si="12"/>
        <v>1433</v>
      </c>
      <c r="B552" s="59">
        <v>2016</v>
      </c>
      <c r="C552" s="59" t="s">
        <v>1651</v>
      </c>
      <c r="D552" s="59" t="s">
        <v>1652</v>
      </c>
      <c r="E552" s="142"/>
      <c r="F552" s="85" t="s">
        <v>145</v>
      </c>
      <c r="G552" s="133"/>
    </row>
    <row r="553" spans="1:7" s="131" customFormat="1" ht="49.95" customHeight="1" x14ac:dyDescent="0.3">
      <c r="A553" s="66">
        <f t="shared" si="12"/>
        <v>1434</v>
      </c>
      <c r="B553" s="59">
        <v>1995</v>
      </c>
      <c r="C553" s="59" t="s">
        <v>1653</v>
      </c>
      <c r="D553" s="59" t="s">
        <v>1654</v>
      </c>
      <c r="E553" s="26"/>
      <c r="F553" s="85" t="s">
        <v>67</v>
      </c>
      <c r="G553" s="114"/>
    </row>
    <row r="554" spans="1:7" s="131" customFormat="1" ht="49.95" customHeight="1" x14ac:dyDescent="0.3">
      <c r="A554" s="66">
        <f t="shared" si="12"/>
        <v>1435</v>
      </c>
      <c r="B554" s="59">
        <v>2018</v>
      </c>
      <c r="C554" s="59" t="s">
        <v>1655</v>
      </c>
      <c r="D554" s="59" t="s">
        <v>40</v>
      </c>
      <c r="E554" s="142"/>
      <c r="F554" s="85" t="s">
        <v>184</v>
      </c>
      <c r="G554" s="114"/>
    </row>
    <row r="555" spans="1:7" s="131" customFormat="1" ht="49.95" customHeight="1" x14ac:dyDescent="0.3">
      <c r="A555" s="66">
        <f t="shared" si="12"/>
        <v>1436</v>
      </c>
      <c r="B555" s="59">
        <v>2015</v>
      </c>
      <c r="C555" s="59" t="s">
        <v>917</v>
      </c>
      <c r="D555" s="59" t="s">
        <v>918</v>
      </c>
      <c r="E555" s="143"/>
      <c r="F555" s="85" t="s">
        <v>49</v>
      </c>
      <c r="G555" s="114"/>
    </row>
    <row r="556" spans="1:7" s="131" customFormat="1" ht="49.95" customHeight="1" x14ac:dyDescent="0.3">
      <c r="A556" s="66">
        <f t="shared" si="12"/>
        <v>1437</v>
      </c>
      <c r="B556" s="59">
        <v>2006</v>
      </c>
      <c r="C556" s="59" t="s">
        <v>1656</v>
      </c>
      <c r="D556" s="59" t="s">
        <v>1657</v>
      </c>
      <c r="E556" s="26"/>
      <c r="F556" s="85" t="s">
        <v>67</v>
      </c>
      <c r="G556" s="114"/>
    </row>
    <row r="557" spans="1:7" s="131" customFormat="1" ht="49.95" customHeight="1" x14ac:dyDescent="0.3">
      <c r="A557" s="66">
        <f t="shared" si="12"/>
        <v>1438</v>
      </c>
      <c r="B557" s="59">
        <v>2017</v>
      </c>
      <c r="C557" s="59" t="s">
        <v>1658</v>
      </c>
      <c r="D557" s="59" t="s">
        <v>1659</v>
      </c>
      <c r="E557" s="26"/>
      <c r="F557" s="85" t="s">
        <v>67</v>
      </c>
      <c r="G557" s="114"/>
    </row>
    <row r="558" spans="1:7" s="131" customFormat="1" ht="49.95" customHeight="1" x14ac:dyDescent="0.3">
      <c r="A558" s="66">
        <f t="shared" si="12"/>
        <v>1439</v>
      </c>
      <c r="B558" s="59">
        <v>2004</v>
      </c>
      <c r="C558" s="59" t="s">
        <v>1660</v>
      </c>
      <c r="D558" s="59" t="s">
        <v>265</v>
      </c>
      <c r="E558" s="26"/>
      <c r="F558" s="85" t="s">
        <v>67</v>
      </c>
      <c r="G558" s="114"/>
    </row>
    <row r="559" spans="1:7" s="131" customFormat="1" ht="49.95" customHeight="1" x14ac:dyDescent="0.3">
      <c r="A559" s="66">
        <f t="shared" si="12"/>
        <v>1440</v>
      </c>
      <c r="B559" s="59">
        <v>2005</v>
      </c>
      <c r="C559" s="59" t="s">
        <v>1661</v>
      </c>
      <c r="D559" s="59" t="s">
        <v>1662</v>
      </c>
      <c r="E559" s="26"/>
      <c r="F559" s="85" t="s">
        <v>67</v>
      </c>
      <c r="G559" s="114"/>
    </row>
    <row r="560" spans="1:7" s="131" customFormat="1" ht="49.95" customHeight="1" x14ac:dyDescent="0.3">
      <c r="A560" s="66">
        <f t="shared" si="12"/>
        <v>1441</v>
      </c>
      <c r="B560" s="59">
        <v>2015</v>
      </c>
      <c r="C560" s="59" t="s">
        <v>1663</v>
      </c>
      <c r="D560" s="59" t="s">
        <v>301</v>
      </c>
      <c r="E560" s="26"/>
      <c r="F560" s="85" t="s">
        <v>184</v>
      </c>
      <c r="G560" s="114"/>
    </row>
    <row r="561" spans="1:75" s="131" customFormat="1" ht="49.95" customHeight="1" x14ac:dyDescent="0.3">
      <c r="A561" s="66">
        <f t="shared" si="12"/>
        <v>1442</v>
      </c>
      <c r="B561" s="59">
        <v>2013</v>
      </c>
      <c r="C561" s="59" t="s">
        <v>1664</v>
      </c>
      <c r="D561" s="59" t="s">
        <v>1665</v>
      </c>
      <c r="E561" s="143"/>
      <c r="F561" s="85" t="s">
        <v>67</v>
      </c>
      <c r="G561" s="114"/>
    </row>
    <row r="562" spans="1:75" s="131" customFormat="1" ht="49.95" customHeight="1" x14ac:dyDescent="0.3">
      <c r="A562" s="66">
        <f t="shared" si="12"/>
        <v>1443</v>
      </c>
      <c r="B562" s="59">
        <v>2009</v>
      </c>
      <c r="C562" s="59" t="s">
        <v>1666</v>
      </c>
      <c r="D562" s="59" t="s">
        <v>1667</v>
      </c>
      <c r="E562" s="26"/>
      <c r="F562" s="85" t="s">
        <v>67</v>
      </c>
      <c r="G562" s="114"/>
    </row>
    <row r="563" spans="1:75" s="131" customFormat="1" ht="49.95" customHeight="1" x14ac:dyDescent="0.3">
      <c r="A563" s="66">
        <f t="shared" si="12"/>
        <v>1444</v>
      </c>
      <c r="B563" s="59">
        <v>2025</v>
      </c>
      <c r="C563" s="59" t="s">
        <v>1668</v>
      </c>
      <c r="D563" s="59" t="s">
        <v>7</v>
      </c>
      <c r="E563" s="26"/>
      <c r="F563" s="85" t="s">
        <v>184</v>
      </c>
      <c r="G563" s="114"/>
    </row>
    <row r="564" spans="1:75" s="131" customFormat="1" ht="49.95" customHeight="1" x14ac:dyDescent="0.3">
      <c r="A564" s="66">
        <f t="shared" si="12"/>
        <v>1445</v>
      </c>
      <c r="B564" s="59">
        <v>2022</v>
      </c>
      <c r="C564" s="59" t="s">
        <v>212</v>
      </c>
      <c r="D564" s="59" t="s">
        <v>1669</v>
      </c>
      <c r="E564" s="26"/>
      <c r="F564" s="85" t="s">
        <v>184</v>
      </c>
      <c r="G564" s="114"/>
    </row>
    <row r="565" spans="1:75" s="131" customFormat="1" ht="49.95" customHeight="1" x14ac:dyDescent="0.3">
      <c r="A565" s="66">
        <f t="shared" si="12"/>
        <v>1446</v>
      </c>
      <c r="B565" s="59">
        <v>2022</v>
      </c>
      <c r="C565" s="59" t="s">
        <v>1670</v>
      </c>
      <c r="D565" s="59" t="s">
        <v>1671</v>
      </c>
      <c r="E565" s="26"/>
      <c r="F565" s="85" t="s">
        <v>49</v>
      </c>
      <c r="G565" s="114"/>
    </row>
    <row r="566" spans="1:75" s="131" customFormat="1" ht="49.95" customHeight="1" x14ac:dyDescent="0.3">
      <c r="A566" s="66">
        <f t="shared" si="12"/>
        <v>1447</v>
      </c>
      <c r="B566" s="59">
        <v>2025</v>
      </c>
      <c r="C566" s="59" t="s">
        <v>1672</v>
      </c>
      <c r="D566" s="59" t="s">
        <v>1673</v>
      </c>
      <c r="E566" s="143"/>
      <c r="F566" s="85" t="s">
        <v>1732</v>
      </c>
      <c r="G566" s="172"/>
    </row>
    <row r="567" spans="1:75" s="131" customFormat="1" ht="49.95" customHeight="1" x14ac:dyDescent="0.3">
      <c r="A567" s="66">
        <f t="shared" si="12"/>
        <v>1448</v>
      </c>
      <c r="B567" s="59">
        <v>2025</v>
      </c>
      <c r="C567" s="59" t="s">
        <v>1674</v>
      </c>
      <c r="D567" s="59" t="s">
        <v>1675</v>
      </c>
      <c r="E567" s="26"/>
      <c r="F567" s="85" t="s">
        <v>261</v>
      </c>
      <c r="G567" s="114"/>
    </row>
    <row r="568" spans="1:75" ht="23.4" x14ac:dyDescent="0.45">
      <c r="A568" s="44" t="s">
        <v>0</v>
      </c>
      <c r="B568" s="44" t="s">
        <v>1</v>
      </c>
      <c r="C568" s="44" t="s">
        <v>2</v>
      </c>
      <c r="D568" s="44" t="s">
        <v>3</v>
      </c>
      <c r="E568" s="44" t="s">
        <v>4</v>
      </c>
      <c r="F568" s="118" t="s">
        <v>5</v>
      </c>
      <c r="G568" s="47"/>
      <c r="H568" s="186"/>
      <c r="I568" s="186"/>
      <c r="J568" s="186"/>
      <c r="K568" s="186"/>
      <c r="L568" s="186"/>
      <c r="M568" s="186"/>
      <c r="N568" s="186"/>
      <c r="O568" s="186"/>
      <c r="P568" s="186"/>
      <c r="Q568" s="186"/>
      <c r="R568" s="186"/>
      <c r="S568" s="186"/>
      <c r="T568" s="186"/>
      <c r="U568" s="186"/>
      <c r="V568" s="186"/>
      <c r="W568" s="186"/>
      <c r="X568" s="186"/>
      <c r="Y568" s="186"/>
      <c r="Z568" s="186"/>
      <c r="AA568" s="186"/>
      <c r="AB568" s="186"/>
      <c r="AC568" s="186"/>
      <c r="AD568" s="186"/>
      <c r="AE568" s="186"/>
      <c r="AF568" s="186"/>
      <c r="AG568" s="186"/>
      <c r="AH568" s="186"/>
      <c r="AI568" s="186"/>
      <c r="AJ568" s="186"/>
      <c r="AK568" s="186"/>
      <c r="AL568" s="186"/>
      <c r="AM568" s="186"/>
      <c r="AN568" s="186"/>
      <c r="AO568" s="186"/>
      <c r="AP568" s="186"/>
      <c r="AQ568" s="186"/>
      <c r="AR568" s="186"/>
      <c r="AS568" s="186"/>
      <c r="AT568" s="186"/>
      <c r="AU568" s="186"/>
      <c r="AV568" s="186"/>
      <c r="AW568" s="186"/>
      <c r="AX568" s="186"/>
      <c r="AY568" s="186"/>
      <c r="AZ568" s="186"/>
      <c r="BA568" s="186"/>
      <c r="BB568" s="186"/>
      <c r="BC568" s="186"/>
      <c r="BD568" s="186"/>
      <c r="BE568" s="186"/>
      <c r="BF568" s="186"/>
      <c r="BG568" s="186"/>
      <c r="BH568" s="186"/>
      <c r="BI568" s="186"/>
      <c r="BJ568" s="186"/>
      <c r="BK568" s="186"/>
      <c r="BL568" s="186"/>
      <c r="BM568" s="186"/>
      <c r="BN568" s="186"/>
      <c r="BO568" s="186"/>
      <c r="BP568" s="186"/>
      <c r="BQ568" s="186"/>
      <c r="BR568" s="186"/>
      <c r="BS568" s="186"/>
      <c r="BT568" s="186"/>
      <c r="BU568" s="186"/>
      <c r="BV568" s="186"/>
      <c r="BW568" s="186"/>
    </row>
    <row r="569" spans="1:75" ht="31.2" x14ac:dyDescent="0.3">
      <c r="A569" s="169">
        <v>135</v>
      </c>
      <c r="B569" s="170">
        <v>2025</v>
      </c>
      <c r="C569" s="171" t="s">
        <v>1676</v>
      </c>
      <c r="D569" s="170" t="s">
        <v>496</v>
      </c>
      <c r="E569" s="111"/>
      <c r="F569" s="112"/>
      <c r="G569" s="141"/>
      <c r="H569" s="186"/>
      <c r="I569" s="186"/>
      <c r="J569" s="186"/>
      <c r="K569" s="186"/>
      <c r="L569" s="186"/>
      <c r="M569" s="186"/>
      <c r="N569" s="186"/>
      <c r="O569" s="186"/>
      <c r="P569" s="186"/>
      <c r="Q569" s="186"/>
      <c r="R569" s="186"/>
      <c r="S569" s="186"/>
      <c r="T569" s="186"/>
      <c r="U569" s="186"/>
      <c r="V569" s="186"/>
      <c r="W569" s="186"/>
      <c r="X569" s="186"/>
      <c r="Y569" s="186"/>
      <c r="Z569" s="186"/>
      <c r="AA569" s="186"/>
      <c r="AB569" s="186"/>
      <c r="AC569" s="186"/>
      <c r="AD569" s="186"/>
      <c r="AE569" s="186"/>
      <c r="AF569" s="186"/>
      <c r="AG569" s="186"/>
      <c r="AH569" s="186"/>
      <c r="AI569" s="186"/>
      <c r="AJ569" s="186"/>
      <c r="AK569" s="186"/>
      <c r="AL569" s="186"/>
      <c r="AM569" s="186"/>
      <c r="AN569" s="186"/>
      <c r="AO569" s="186"/>
      <c r="AP569" s="186"/>
      <c r="AQ569" s="186"/>
      <c r="AR569" s="186"/>
      <c r="AS569" s="186"/>
      <c r="AT569" s="186"/>
      <c r="AU569" s="186"/>
      <c r="AV569" s="186"/>
      <c r="AW569" s="186"/>
      <c r="AX569" s="186"/>
      <c r="AY569" s="186"/>
      <c r="AZ569" s="186"/>
      <c r="BA569" s="186"/>
      <c r="BB569" s="186"/>
      <c r="BC569" s="186"/>
      <c r="BD569" s="186"/>
      <c r="BE569" s="186"/>
      <c r="BF569" s="186"/>
      <c r="BG569" s="186"/>
      <c r="BH569" s="186"/>
      <c r="BI569" s="186"/>
      <c r="BJ569" s="186"/>
      <c r="BK569" s="186"/>
      <c r="BL569" s="186"/>
      <c r="BM569" s="186"/>
      <c r="BN569" s="186"/>
      <c r="BO569" s="186"/>
      <c r="BP569" s="186"/>
      <c r="BQ569" s="186"/>
      <c r="BR569" s="186"/>
      <c r="BS569" s="186"/>
      <c r="BT569" s="186"/>
      <c r="BU569" s="186"/>
      <c r="BV569" s="186"/>
      <c r="BW569" s="186"/>
    </row>
    <row r="570" spans="1:75" s="4" customFormat="1" ht="100.2" customHeight="1" x14ac:dyDescent="0.45">
      <c r="A570" s="208" t="s">
        <v>10</v>
      </c>
      <c r="B570" s="209"/>
      <c r="C570" s="209"/>
      <c r="D570" s="209"/>
      <c r="E570" s="210"/>
      <c r="F570" s="205" t="s">
        <v>1733</v>
      </c>
      <c r="G570" s="200"/>
      <c r="H570" s="184"/>
      <c r="I570" s="184"/>
      <c r="J570" s="184"/>
      <c r="K570" s="184"/>
      <c r="L570" s="184"/>
      <c r="M570" s="184"/>
      <c r="N570" s="184"/>
      <c r="O570" s="184"/>
      <c r="P570" s="184"/>
      <c r="Q570" s="184"/>
      <c r="R570" s="184"/>
      <c r="S570" s="184"/>
      <c r="T570" s="184"/>
      <c r="U570" s="184"/>
      <c r="V570" s="184"/>
      <c r="W570" s="184"/>
      <c r="X570" s="184"/>
      <c r="Y570" s="184"/>
      <c r="Z570" s="184"/>
      <c r="AA570" s="184"/>
      <c r="AB570" s="184"/>
      <c r="AC570" s="184"/>
      <c r="AD570" s="184"/>
      <c r="AE570" s="184"/>
      <c r="AF570" s="184"/>
      <c r="AG570" s="184"/>
      <c r="AH570" s="184"/>
      <c r="AI570" s="184"/>
      <c r="AJ570" s="184"/>
      <c r="AK570" s="184"/>
      <c r="AL570" s="184"/>
      <c r="AM570" s="184"/>
      <c r="AN570" s="184"/>
      <c r="AO570" s="184"/>
      <c r="AP570" s="184"/>
      <c r="AQ570" s="184"/>
      <c r="AR570" s="184"/>
      <c r="AS570" s="184"/>
      <c r="AT570" s="184"/>
      <c r="AU570" s="184"/>
      <c r="AV570" s="184"/>
      <c r="AW570" s="184"/>
      <c r="AX570" s="184"/>
      <c r="AY570" s="184"/>
      <c r="AZ570" s="184"/>
      <c r="BA570" s="184"/>
      <c r="BB570" s="184"/>
      <c r="BC570" s="184"/>
      <c r="BD570" s="184"/>
      <c r="BE570" s="184"/>
      <c r="BF570" s="184"/>
      <c r="BG570" s="184"/>
      <c r="BH570" s="184"/>
      <c r="BI570" s="184"/>
      <c r="BJ570" s="184"/>
      <c r="BK570" s="184"/>
      <c r="BL570" s="184"/>
      <c r="BM570" s="184"/>
      <c r="BN570" s="184"/>
      <c r="BO570" s="184"/>
      <c r="BP570" s="184"/>
      <c r="BQ570" s="184"/>
      <c r="BR570" s="184"/>
      <c r="BS570" s="184"/>
      <c r="BT570" s="184"/>
      <c r="BU570" s="184"/>
      <c r="BV570" s="184"/>
      <c r="BW570" s="184"/>
    </row>
    <row r="571" spans="1:75" s="9" customFormat="1" ht="100.2" customHeight="1" x14ac:dyDescent="0.45">
      <c r="A571" s="208"/>
      <c r="B571" s="209"/>
      <c r="C571" s="209"/>
      <c r="D571" s="209"/>
      <c r="E571" s="210"/>
      <c r="F571" s="206"/>
      <c r="G571" s="202"/>
      <c r="H571" s="184"/>
      <c r="I571" s="184"/>
      <c r="J571" s="184"/>
      <c r="K571" s="184"/>
      <c r="L571" s="184"/>
      <c r="M571" s="184"/>
      <c r="N571" s="184"/>
      <c r="O571" s="184"/>
      <c r="P571" s="184"/>
      <c r="Q571" s="184"/>
      <c r="R571" s="184"/>
      <c r="S571" s="184"/>
      <c r="T571" s="184"/>
      <c r="U571" s="184"/>
      <c r="V571" s="184"/>
      <c r="W571" s="184"/>
      <c r="X571" s="184"/>
      <c r="Y571" s="184"/>
      <c r="Z571" s="184"/>
      <c r="AA571" s="184"/>
      <c r="AB571" s="184"/>
      <c r="AC571" s="184"/>
      <c r="AD571" s="184"/>
      <c r="AE571" s="184"/>
      <c r="AF571" s="184"/>
      <c r="AG571" s="184"/>
      <c r="AH571" s="184"/>
      <c r="AI571" s="184"/>
      <c r="AJ571" s="184"/>
      <c r="AK571" s="184"/>
      <c r="AL571" s="184"/>
      <c r="AM571" s="184"/>
      <c r="AN571" s="184"/>
      <c r="AO571" s="184"/>
      <c r="AP571" s="184"/>
      <c r="AQ571" s="184"/>
      <c r="AR571" s="184"/>
      <c r="AS571" s="184"/>
      <c r="AT571" s="184"/>
      <c r="AU571" s="184"/>
      <c r="AV571" s="184"/>
      <c r="AW571" s="184"/>
      <c r="AX571" s="184"/>
      <c r="AY571" s="184"/>
      <c r="AZ571" s="184"/>
      <c r="BA571" s="184"/>
      <c r="BB571" s="184"/>
      <c r="BC571" s="184"/>
      <c r="BD571" s="184"/>
      <c r="BE571" s="184"/>
      <c r="BF571" s="184"/>
      <c r="BG571" s="184"/>
      <c r="BH571" s="184"/>
      <c r="BI571" s="184"/>
      <c r="BJ571" s="184"/>
      <c r="BK571" s="184"/>
      <c r="BL571" s="184"/>
      <c r="BM571" s="184"/>
      <c r="BN571" s="184"/>
      <c r="BO571" s="184"/>
      <c r="BP571" s="184"/>
      <c r="BQ571" s="184"/>
      <c r="BR571" s="184"/>
      <c r="BS571" s="184"/>
      <c r="BT571" s="184"/>
      <c r="BU571" s="184"/>
      <c r="BV571" s="184"/>
      <c r="BW571" s="184"/>
    </row>
    <row r="572" spans="1:75" s="4" customFormat="1" ht="30" customHeight="1" x14ac:dyDescent="0.45">
      <c r="A572" s="208"/>
      <c r="B572" s="209"/>
      <c r="C572" s="209"/>
      <c r="D572" s="209"/>
      <c r="E572" s="210"/>
      <c r="F572" s="207"/>
      <c r="G572" s="204"/>
      <c r="H572" s="184"/>
      <c r="I572" s="184"/>
      <c r="J572" s="184"/>
      <c r="K572" s="184"/>
      <c r="L572" s="184"/>
      <c r="M572" s="184"/>
      <c r="N572" s="184"/>
      <c r="O572" s="184"/>
      <c r="P572" s="184"/>
      <c r="Q572" s="184"/>
      <c r="R572" s="184"/>
      <c r="S572" s="184"/>
      <c r="T572" s="184"/>
      <c r="U572" s="184"/>
      <c r="V572" s="184"/>
      <c r="W572" s="184"/>
      <c r="X572" s="184"/>
      <c r="Y572" s="184"/>
      <c r="Z572" s="184"/>
      <c r="AA572" s="184"/>
      <c r="AB572" s="184"/>
      <c r="AC572" s="184"/>
      <c r="AD572" s="184"/>
      <c r="AE572" s="184"/>
      <c r="AF572" s="184"/>
      <c r="AG572" s="184"/>
      <c r="AH572" s="184"/>
      <c r="AI572" s="184"/>
      <c r="AJ572" s="184"/>
      <c r="AK572" s="184"/>
      <c r="AL572" s="184"/>
      <c r="AM572" s="184"/>
      <c r="AN572" s="184"/>
      <c r="AO572" s="184"/>
      <c r="AP572" s="184"/>
      <c r="AQ572" s="184"/>
      <c r="AR572" s="184"/>
      <c r="AS572" s="184"/>
      <c r="AT572" s="184"/>
      <c r="AU572" s="184"/>
      <c r="AV572" s="184"/>
      <c r="AW572" s="184"/>
      <c r="AX572" s="184"/>
      <c r="AY572" s="184"/>
      <c r="AZ572" s="184"/>
      <c r="BA572" s="184"/>
      <c r="BB572" s="184"/>
      <c r="BC572" s="184"/>
      <c r="BD572" s="184"/>
      <c r="BE572" s="184"/>
      <c r="BF572" s="184"/>
      <c r="BG572" s="184"/>
      <c r="BH572" s="184"/>
      <c r="BI572" s="184"/>
      <c r="BJ572" s="184"/>
      <c r="BK572" s="184"/>
      <c r="BL572" s="184"/>
      <c r="BM572" s="184"/>
      <c r="BN572" s="184"/>
      <c r="BO572" s="184"/>
      <c r="BP572" s="184"/>
      <c r="BQ572" s="184"/>
      <c r="BR572" s="184"/>
      <c r="BS572" s="184"/>
      <c r="BT572" s="184"/>
      <c r="BU572" s="184"/>
      <c r="BV572" s="184"/>
      <c r="BW572" s="184"/>
    </row>
    <row r="573" spans="1:75" s="9" customFormat="1" ht="100.2" customHeight="1" x14ac:dyDescent="0.45">
      <c r="A573" s="56" t="s">
        <v>12</v>
      </c>
      <c r="B573" s="55" t="s">
        <v>13</v>
      </c>
      <c r="C573" s="55" t="s">
        <v>14</v>
      </c>
      <c r="D573" s="55" t="s">
        <v>15</v>
      </c>
      <c r="E573" s="57" t="s">
        <v>16</v>
      </c>
      <c r="F573" s="56" t="s">
        <v>1735</v>
      </c>
      <c r="G573" s="55" t="s">
        <v>1737</v>
      </c>
      <c r="H573" s="184"/>
      <c r="I573" s="184"/>
      <c r="J573" s="184"/>
      <c r="K573" s="184"/>
      <c r="L573" s="184"/>
      <c r="M573" s="184"/>
      <c r="N573" s="184"/>
      <c r="O573" s="184"/>
      <c r="P573" s="184"/>
      <c r="Q573" s="184"/>
      <c r="R573" s="184"/>
      <c r="S573" s="184"/>
      <c r="T573" s="184"/>
      <c r="U573" s="184"/>
      <c r="V573" s="184"/>
      <c r="W573" s="184"/>
      <c r="X573" s="184"/>
      <c r="Y573" s="184"/>
      <c r="Z573" s="184"/>
      <c r="AA573" s="184"/>
      <c r="AB573" s="184"/>
      <c r="AC573" s="184"/>
      <c r="AD573" s="184"/>
      <c r="AE573" s="184"/>
      <c r="AF573" s="184"/>
      <c r="AG573" s="184"/>
      <c r="AH573" s="184"/>
      <c r="AI573" s="184"/>
      <c r="AJ573" s="184"/>
      <c r="AK573" s="184"/>
      <c r="AL573" s="184"/>
      <c r="AM573" s="184"/>
      <c r="AN573" s="184"/>
      <c r="AO573" s="184"/>
      <c r="AP573" s="184"/>
      <c r="AQ573" s="184"/>
      <c r="AR573" s="184"/>
      <c r="AS573" s="184"/>
      <c r="AT573" s="184"/>
      <c r="AU573" s="184"/>
      <c r="AV573" s="184"/>
      <c r="AW573" s="184"/>
      <c r="AX573" s="184"/>
      <c r="AY573" s="184"/>
      <c r="AZ573" s="184"/>
      <c r="BA573" s="184"/>
      <c r="BB573" s="184"/>
      <c r="BC573" s="184"/>
      <c r="BD573" s="184"/>
      <c r="BE573" s="184"/>
      <c r="BF573" s="184"/>
      <c r="BG573" s="184"/>
      <c r="BH573" s="184"/>
      <c r="BI573" s="184"/>
      <c r="BJ573" s="184"/>
      <c r="BK573" s="184"/>
      <c r="BL573" s="184"/>
      <c r="BM573" s="184"/>
      <c r="BN573" s="184"/>
      <c r="BO573" s="184"/>
      <c r="BP573" s="184"/>
      <c r="BQ573" s="184"/>
      <c r="BR573" s="184"/>
      <c r="BS573" s="184"/>
      <c r="BT573" s="184"/>
      <c r="BU573" s="184"/>
      <c r="BV573" s="184"/>
      <c r="BW573" s="184"/>
    </row>
    <row r="574" spans="1:75" s="75" customFormat="1" ht="49.95" customHeight="1" x14ac:dyDescent="0.3">
      <c r="A574" s="66">
        <f>SUM(A567,1)</f>
        <v>1449</v>
      </c>
      <c r="B574" s="59">
        <v>2007</v>
      </c>
      <c r="C574" s="59" t="s">
        <v>1677</v>
      </c>
      <c r="D574" s="59" t="s">
        <v>1678</v>
      </c>
      <c r="E574" s="26"/>
      <c r="F574" s="85" t="s">
        <v>67</v>
      </c>
      <c r="G574" s="114"/>
    </row>
    <row r="575" spans="1:75" s="75" customFormat="1" ht="49.95" customHeight="1" x14ac:dyDescent="0.3">
      <c r="A575" s="66">
        <f t="shared" ref="A575:A587" si="13">SUM(A574,1)</f>
        <v>1450</v>
      </c>
      <c r="B575" s="59">
        <v>2003</v>
      </c>
      <c r="C575" s="59" t="s">
        <v>1679</v>
      </c>
      <c r="D575" s="59" t="s">
        <v>1680</v>
      </c>
      <c r="E575" s="26"/>
      <c r="F575" s="85" t="s">
        <v>67</v>
      </c>
      <c r="G575" s="114"/>
    </row>
    <row r="576" spans="1:75" s="168" customFormat="1" ht="49.95" customHeight="1" x14ac:dyDescent="1.65">
      <c r="A576" s="173">
        <f t="shared" si="13"/>
        <v>1451</v>
      </c>
      <c r="B576" s="59">
        <v>1999</v>
      </c>
      <c r="C576" s="59" t="s">
        <v>691</v>
      </c>
      <c r="D576" s="59" t="s">
        <v>1681</v>
      </c>
      <c r="E576" s="103"/>
      <c r="F576" s="85" t="s">
        <v>67</v>
      </c>
      <c r="G576" s="162"/>
      <c r="H576" s="193"/>
      <c r="I576" s="193"/>
      <c r="J576" s="193"/>
      <c r="K576" s="193"/>
      <c r="L576" s="193"/>
      <c r="M576" s="193"/>
      <c r="N576" s="193"/>
      <c r="O576" s="193"/>
      <c r="P576" s="193"/>
      <c r="Q576" s="193"/>
      <c r="R576" s="193"/>
      <c r="S576" s="193"/>
      <c r="T576" s="193"/>
      <c r="U576" s="193"/>
      <c r="V576" s="193"/>
      <c r="W576" s="193"/>
      <c r="X576" s="193"/>
      <c r="Y576" s="193"/>
      <c r="Z576" s="193"/>
      <c r="AA576" s="193"/>
      <c r="AB576" s="193"/>
      <c r="AC576" s="193"/>
      <c r="AD576" s="193"/>
      <c r="AE576" s="193"/>
      <c r="AF576" s="193"/>
      <c r="AG576" s="193"/>
      <c r="AH576" s="193"/>
      <c r="AI576" s="193"/>
      <c r="AJ576" s="193"/>
      <c r="AK576" s="193"/>
      <c r="AL576" s="193"/>
      <c r="AM576" s="193"/>
      <c r="AN576" s="193"/>
      <c r="AO576" s="193"/>
      <c r="AP576" s="193"/>
      <c r="AQ576" s="193"/>
      <c r="AR576" s="193"/>
      <c r="AS576" s="193"/>
      <c r="AT576" s="193"/>
      <c r="AU576" s="193"/>
      <c r="AV576" s="193"/>
      <c r="AW576" s="193"/>
      <c r="AX576" s="193"/>
      <c r="AY576" s="193"/>
      <c r="AZ576" s="193"/>
      <c r="BA576" s="193"/>
      <c r="BB576" s="193"/>
      <c r="BC576" s="193"/>
      <c r="BD576" s="193"/>
      <c r="BE576" s="193"/>
      <c r="BF576" s="193"/>
      <c r="BG576" s="193"/>
      <c r="BH576" s="193"/>
      <c r="BI576" s="193"/>
      <c r="BJ576" s="193"/>
      <c r="BK576" s="193"/>
      <c r="BL576" s="193"/>
      <c r="BM576" s="193"/>
      <c r="BN576" s="193"/>
      <c r="BO576" s="193"/>
      <c r="BP576" s="193"/>
      <c r="BQ576" s="193"/>
      <c r="BR576" s="193"/>
      <c r="BS576" s="193"/>
      <c r="BT576" s="193"/>
      <c r="BU576" s="193"/>
      <c r="BV576" s="193"/>
      <c r="BW576" s="193"/>
    </row>
    <row r="577" spans="1:75" ht="49.95" customHeight="1" x14ac:dyDescent="0.3">
      <c r="A577" s="173">
        <f t="shared" si="13"/>
        <v>1452</v>
      </c>
      <c r="B577" s="59">
        <v>2018</v>
      </c>
      <c r="C577" s="59" t="s">
        <v>1682</v>
      </c>
      <c r="D577" s="59" t="s">
        <v>1683</v>
      </c>
      <c r="E577" s="103"/>
      <c r="F577" s="85" t="s">
        <v>1684</v>
      </c>
      <c r="G577" s="162"/>
      <c r="H577" s="186"/>
      <c r="I577" s="186"/>
      <c r="J577" s="186"/>
      <c r="K577" s="186"/>
      <c r="L577" s="186"/>
      <c r="M577" s="186"/>
      <c r="N577" s="186"/>
      <c r="O577" s="186"/>
      <c r="P577" s="186"/>
      <c r="Q577" s="186"/>
      <c r="R577" s="186"/>
      <c r="S577" s="186"/>
      <c r="T577" s="186"/>
      <c r="U577" s="186"/>
      <c r="V577" s="186"/>
      <c r="W577" s="186"/>
      <c r="X577" s="186"/>
      <c r="Y577" s="186"/>
      <c r="Z577" s="186"/>
      <c r="AA577" s="186"/>
      <c r="AB577" s="186"/>
      <c r="AC577" s="186"/>
      <c r="AD577" s="186"/>
      <c r="AE577" s="186"/>
      <c r="AF577" s="186"/>
      <c r="AG577" s="186"/>
      <c r="AH577" s="186"/>
      <c r="AI577" s="186"/>
      <c r="AJ577" s="186"/>
      <c r="AK577" s="186"/>
      <c r="AL577" s="186"/>
      <c r="AM577" s="186"/>
      <c r="AN577" s="186"/>
      <c r="AO577" s="186"/>
      <c r="AP577" s="186"/>
      <c r="AQ577" s="186"/>
      <c r="AR577" s="186"/>
      <c r="AS577" s="186"/>
      <c r="AT577" s="186"/>
      <c r="AU577" s="186"/>
      <c r="AV577" s="186"/>
      <c r="AW577" s="186"/>
      <c r="AX577" s="186"/>
      <c r="AY577" s="186"/>
      <c r="AZ577" s="186"/>
      <c r="BA577" s="186"/>
      <c r="BB577" s="186"/>
      <c r="BC577" s="186"/>
      <c r="BD577" s="186"/>
      <c r="BE577" s="186"/>
      <c r="BF577" s="186"/>
      <c r="BG577" s="186"/>
      <c r="BH577" s="186"/>
      <c r="BI577" s="186"/>
      <c r="BJ577" s="186"/>
      <c r="BK577" s="186"/>
      <c r="BL577" s="186"/>
      <c r="BM577" s="186"/>
      <c r="BN577" s="186"/>
      <c r="BO577" s="186"/>
      <c r="BP577" s="186"/>
      <c r="BQ577" s="186"/>
      <c r="BR577" s="186"/>
      <c r="BS577" s="186"/>
      <c r="BT577" s="186"/>
      <c r="BU577" s="186"/>
      <c r="BV577" s="186"/>
      <c r="BW577" s="186"/>
    </row>
    <row r="578" spans="1:75" ht="49.95" customHeight="1" x14ac:dyDescent="0.3">
      <c r="A578" s="173">
        <f t="shared" si="13"/>
        <v>1453</v>
      </c>
      <c r="B578" s="59">
        <v>2022</v>
      </c>
      <c r="C578" s="59" t="s">
        <v>1685</v>
      </c>
      <c r="D578" s="59" t="s">
        <v>1686</v>
      </c>
      <c r="E578" s="103"/>
      <c r="F578" s="85" t="s">
        <v>467</v>
      </c>
      <c r="G578" s="162"/>
      <c r="H578" s="186"/>
      <c r="I578" s="186"/>
      <c r="J578" s="186"/>
      <c r="K578" s="186"/>
      <c r="L578" s="186"/>
      <c r="M578" s="186"/>
      <c r="N578" s="186"/>
      <c r="O578" s="186"/>
      <c r="P578" s="186"/>
      <c r="Q578" s="186"/>
      <c r="R578" s="186"/>
      <c r="S578" s="186"/>
      <c r="T578" s="186"/>
      <c r="U578" s="186"/>
      <c r="V578" s="186"/>
      <c r="W578" s="186"/>
      <c r="X578" s="186"/>
      <c r="Y578" s="186"/>
      <c r="Z578" s="186"/>
      <c r="AA578" s="186"/>
      <c r="AB578" s="186"/>
      <c r="AC578" s="186"/>
      <c r="AD578" s="186"/>
      <c r="AE578" s="186"/>
      <c r="AF578" s="186"/>
      <c r="AG578" s="186"/>
      <c r="AH578" s="186"/>
      <c r="AI578" s="186"/>
      <c r="AJ578" s="186"/>
      <c r="AK578" s="186"/>
      <c r="AL578" s="186"/>
      <c r="AM578" s="186"/>
      <c r="AN578" s="186"/>
      <c r="AO578" s="186"/>
      <c r="AP578" s="186"/>
      <c r="AQ578" s="186"/>
      <c r="AR578" s="186"/>
      <c r="AS578" s="186"/>
      <c r="AT578" s="186"/>
      <c r="AU578" s="186"/>
      <c r="AV578" s="186"/>
      <c r="AW578" s="186"/>
      <c r="AX578" s="186"/>
      <c r="AY578" s="186"/>
      <c r="AZ578" s="186"/>
      <c r="BA578" s="186"/>
      <c r="BB578" s="186"/>
      <c r="BC578" s="186"/>
      <c r="BD578" s="186"/>
      <c r="BE578" s="186"/>
      <c r="BF578" s="186"/>
      <c r="BG578" s="186"/>
      <c r="BH578" s="186"/>
      <c r="BI578" s="186"/>
      <c r="BJ578" s="186"/>
      <c r="BK578" s="186"/>
      <c r="BL578" s="186"/>
      <c r="BM578" s="186"/>
      <c r="BN578" s="186"/>
      <c r="BO578" s="186"/>
      <c r="BP578" s="186"/>
      <c r="BQ578" s="186"/>
      <c r="BR578" s="186"/>
      <c r="BS578" s="186"/>
      <c r="BT578" s="186"/>
      <c r="BU578" s="186"/>
      <c r="BV578" s="186"/>
      <c r="BW578" s="186"/>
    </row>
    <row r="579" spans="1:75" s="4" customFormat="1" ht="49.95" customHeight="1" x14ac:dyDescent="0.45">
      <c r="A579" s="173">
        <f t="shared" si="13"/>
        <v>1454</v>
      </c>
      <c r="B579" s="59" t="s">
        <v>216</v>
      </c>
      <c r="C579" s="59" t="s">
        <v>805</v>
      </c>
      <c r="D579" s="59" t="s">
        <v>1687</v>
      </c>
      <c r="E579" s="103"/>
      <c r="F579" s="85" t="s">
        <v>145</v>
      </c>
      <c r="G579" s="162"/>
      <c r="H579" s="184"/>
      <c r="I579" s="184"/>
      <c r="J579" s="184"/>
      <c r="K579" s="184"/>
      <c r="L579" s="184"/>
      <c r="M579" s="184"/>
      <c r="N579" s="184"/>
      <c r="O579" s="184"/>
      <c r="P579" s="184"/>
      <c r="Q579" s="184"/>
      <c r="R579" s="184"/>
      <c r="S579" s="184"/>
      <c r="T579" s="184"/>
      <c r="U579" s="184"/>
      <c r="V579" s="184"/>
      <c r="W579" s="184"/>
      <c r="X579" s="184"/>
      <c r="Y579" s="184"/>
      <c r="Z579" s="184"/>
      <c r="AA579" s="184"/>
      <c r="AB579" s="184"/>
      <c r="AC579" s="184"/>
      <c r="AD579" s="184"/>
      <c r="AE579" s="184"/>
      <c r="AF579" s="184"/>
      <c r="AG579" s="184"/>
      <c r="AH579" s="184"/>
      <c r="AI579" s="184"/>
      <c r="AJ579" s="184"/>
      <c r="AK579" s="184"/>
      <c r="AL579" s="184"/>
      <c r="AM579" s="184"/>
      <c r="AN579" s="184"/>
      <c r="AO579" s="184"/>
      <c r="AP579" s="184"/>
      <c r="AQ579" s="184"/>
      <c r="AR579" s="184"/>
      <c r="AS579" s="184"/>
      <c r="AT579" s="184"/>
      <c r="AU579" s="184"/>
      <c r="AV579" s="184"/>
      <c r="AW579" s="184"/>
      <c r="AX579" s="184"/>
      <c r="AY579" s="184"/>
      <c r="AZ579" s="184"/>
      <c r="BA579" s="184"/>
      <c r="BB579" s="184"/>
      <c r="BC579" s="184"/>
      <c r="BD579" s="184"/>
      <c r="BE579" s="184"/>
      <c r="BF579" s="184"/>
      <c r="BG579" s="184"/>
      <c r="BH579" s="184"/>
      <c r="BI579" s="184"/>
      <c r="BJ579" s="184"/>
      <c r="BK579" s="184"/>
      <c r="BL579" s="184"/>
      <c r="BM579" s="184"/>
      <c r="BN579" s="184"/>
      <c r="BO579" s="184"/>
      <c r="BP579" s="184"/>
      <c r="BQ579" s="184"/>
      <c r="BR579" s="184"/>
      <c r="BS579" s="184"/>
      <c r="BT579" s="184"/>
      <c r="BU579" s="184"/>
      <c r="BV579" s="184"/>
      <c r="BW579" s="184"/>
    </row>
    <row r="580" spans="1:75" s="9" customFormat="1" ht="49.95" customHeight="1" x14ac:dyDescent="0.45">
      <c r="A580" s="173">
        <f t="shared" si="13"/>
        <v>1455</v>
      </c>
      <c r="B580" s="59" t="s">
        <v>216</v>
      </c>
      <c r="C580" s="59" t="s">
        <v>1688</v>
      </c>
      <c r="D580" s="59" t="s">
        <v>1689</v>
      </c>
      <c r="E580" s="103"/>
      <c r="F580" s="85" t="s">
        <v>145</v>
      </c>
      <c r="G580" s="162"/>
      <c r="H580" s="184"/>
      <c r="I580" s="184"/>
      <c r="J580" s="184"/>
      <c r="K580" s="184"/>
      <c r="L580" s="184"/>
      <c r="M580" s="184"/>
      <c r="N580" s="184"/>
      <c r="O580" s="184"/>
      <c r="P580" s="184"/>
      <c r="Q580" s="184"/>
      <c r="R580" s="184"/>
      <c r="S580" s="184"/>
      <c r="T580" s="184"/>
      <c r="U580" s="184"/>
      <c r="V580" s="184"/>
      <c r="W580" s="184"/>
      <c r="X580" s="184"/>
      <c r="Y580" s="184"/>
      <c r="Z580" s="184"/>
      <c r="AA580" s="184"/>
      <c r="AB580" s="184"/>
      <c r="AC580" s="184"/>
      <c r="AD580" s="184"/>
      <c r="AE580" s="184"/>
      <c r="AF580" s="184"/>
      <c r="AG580" s="184"/>
      <c r="AH580" s="184"/>
      <c r="AI580" s="184"/>
      <c r="AJ580" s="184"/>
      <c r="AK580" s="184"/>
      <c r="AL580" s="184"/>
      <c r="AM580" s="184"/>
      <c r="AN580" s="184"/>
      <c r="AO580" s="184"/>
      <c r="AP580" s="184"/>
      <c r="AQ580" s="184"/>
      <c r="AR580" s="184"/>
      <c r="AS580" s="184"/>
      <c r="AT580" s="184"/>
      <c r="AU580" s="184"/>
      <c r="AV580" s="184"/>
      <c r="AW580" s="184"/>
      <c r="AX580" s="184"/>
      <c r="AY580" s="184"/>
      <c r="AZ580" s="184"/>
      <c r="BA580" s="184"/>
      <c r="BB580" s="184"/>
      <c r="BC580" s="184"/>
      <c r="BD580" s="184"/>
      <c r="BE580" s="184"/>
      <c r="BF580" s="184"/>
      <c r="BG580" s="184"/>
      <c r="BH580" s="184"/>
      <c r="BI580" s="184"/>
      <c r="BJ580" s="184"/>
      <c r="BK580" s="184"/>
      <c r="BL580" s="184"/>
      <c r="BM580" s="184"/>
      <c r="BN580" s="184"/>
      <c r="BO580" s="184"/>
      <c r="BP580" s="184"/>
      <c r="BQ580" s="184"/>
      <c r="BR580" s="184"/>
      <c r="BS580" s="184"/>
      <c r="BT580" s="184"/>
      <c r="BU580" s="184"/>
      <c r="BV580" s="184"/>
      <c r="BW580" s="184"/>
    </row>
    <row r="581" spans="1:75" s="4" customFormat="1" ht="49.95" customHeight="1" x14ac:dyDescent="0.45">
      <c r="A581" s="173">
        <f t="shared" si="13"/>
        <v>1456</v>
      </c>
      <c r="B581" s="59">
        <v>2019</v>
      </c>
      <c r="C581" s="59" t="s">
        <v>332</v>
      </c>
      <c r="D581" s="59" t="s">
        <v>1690</v>
      </c>
      <c r="E581" s="103"/>
      <c r="F581" s="85" t="s">
        <v>184</v>
      </c>
      <c r="G581" s="162"/>
      <c r="H581" s="184"/>
      <c r="I581" s="184"/>
      <c r="J581" s="184"/>
      <c r="K581" s="184"/>
      <c r="L581" s="184"/>
      <c r="M581" s="184"/>
      <c r="N581" s="184"/>
      <c r="O581" s="184"/>
      <c r="P581" s="184"/>
      <c r="Q581" s="184"/>
      <c r="R581" s="184"/>
      <c r="S581" s="184"/>
      <c r="T581" s="184"/>
      <c r="U581" s="184"/>
      <c r="V581" s="184"/>
      <c r="W581" s="184"/>
      <c r="X581" s="184"/>
      <c r="Y581" s="184"/>
      <c r="Z581" s="184"/>
      <c r="AA581" s="184"/>
      <c r="AB581" s="184"/>
      <c r="AC581" s="184"/>
      <c r="AD581" s="184"/>
      <c r="AE581" s="184"/>
      <c r="AF581" s="184"/>
      <c r="AG581" s="184"/>
      <c r="AH581" s="184"/>
      <c r="AI581" s="184"/>
      <c r="AJ581" s="184"/>
      <c r="AK581" s="184"/>
      <c r="AL581" s="184"/>
      <c r="AM581" s="184"/>
      <c r="AN581" s="184"/>
      <c r="AO581" s="184"/>
      <c r="AP581" s="184"/>
      <c r="AQ581" s="184"/>
      <c r="AR581" s="184"/>
      <c r="AS581" s="184"/>
      <c r="AT581" s="184"/>
      <c r="AU581" s="184"/>
      <c r="AV581" s="184"/>
      <c r="AW581" s="184"/>
      <c r="AX581" s="184"/>
      <c r="AY581" s="184"/>
      <c r="AZ581" s="184"/>
      <c r="BA581" s="184"/>
      <c r="BB581" s="184"/>
      <c r="BC581" s="184"/>
      <c r="BD581" s="184"/>
      <c r="BE581" s="184"/>
      <c r="BF581" s="184"/>
      <c r="BG581" s="184"/>
      <c r="BH581" s="184"/>
      <c r="BI581" s="184"/>
      <c r="BJ581" s="184"/>
      <c r="BK581" s="184"/>
      <c r="BL581" s="184"/>
      <c r="BM581" s="184"/>
      <c r="BN581" s="184"/>
      <c r="BO581" s="184"/>
      <c r="BP581" s="184"/>
      <c r="BQ581" s="184"/>
      <c r="BR581" s="184"/>
      <c r="BS581" s="184"/>
      <c r="BT581" s="184"/>
      <c r="BU581" s="184"/>
      <c r="BV581" s="184"/>
      <c r="BW581" s="184"/>
    </row>
    <row r="582" spans="1:75" s="9" customFormat="1" ht="49.95" customHeight="1" x14ac:dyDescent="0.45">
      <c r="A582" s="173">
        <f t="shared" si="13"/>
        <v>1457</v>
      </c>
      <c r="B582" s="59">
        <v>2019</v>
      </c>
      <c r="C582" s="59" t="s">
        <v>216</v>
      </c>
      <c r="D582" s="59" t="s">
        <v>1691</v>
      </c>
      <c r="E582" s="103"/>
      <c r="F582" s="85" t="s">
        <v>145</v>
      </c>
      <c r="G582" s="162"/>
      <c r="H582" s="184"/>
      <c r="I582" s="184"/>
      <c r="J582" s="184"/>
      <c r="K582" s="184"/>
      <c r="L582" s="184"/>
      <c r="M582" s="184"/>
      <c r="N582" s="184"/>
      <c r="O582" s="184"/>
      <c r="P582" s="184"/>
      <c r="Q582" s="184"/>
      <c r="R582" s="184"/>
      <c r="S582" s="184"/>
      <c r="T582" s="184"/>
      <c r="U582" s="184"/>
      <c r="V582" s="184"/>
      <c r="W582" s="184"/>
      <c r="X582" s="184"/>
      <c r="Y582" s="184"/>
      <c r="Z582" s="184"/>
      <c r="AA582" s="184"/>
      <c r="AB582" s="184"/>
      <c r="AC582" s="184"/>
      <c r="AD582" s="184"/>
      <c r="AE582" s="184"/>
      <c r="AF582" s="184"/>
      <c r="AG582" s="184"/>
      <c r="AH582" s="184"/>
      <c r="AI582" s="184"/>
      <c r="AJ582" s="184"/>
      <c r="AK582" s="184"/>
      <c r="AL582" s="184"/>
      <c r="AM582" s="184"/>
      <c r="AN582" s="184"/>
      <c r="AO582" s="184"/>
      <c r="AP582" s="184"/>
      <c r="AQ582" s="184"/>
      <c r="AR582" s="184"/>
      <c r="AS582" s="184"/>
      <c r="AT582" s="184"/>
      <c r="AU582" s="184"/>
      <c r="AV582" s="184"/>
      <c r="AW582" s="184"/>
      <c r="AX582" s="184"/>
      <c r="AY582" s="184"/>
      <c r="AZ582" s="184"/>
      <c r="BA582" s="184"/>
      <c r="BB582" s="184"/>
      <c r="BC582" s="184"/>
      <c r="BD582" s="184"/>
      <c r="BE582" s="184"/>
      <c r="BF582" s="184"/>
      <c r="BG582" s="184"/>
      <c r="BH582" s="184"/>
      <c r="BI582" s="184"/>
      <c r="BJ582" s="184"/>
      <c r="BK582" s="184"/>
      <c r="BL582" s="184"/>
      <c r="BM582" s="184"/>
      <c r="BN582" s="184"/>
      <c r="BO582" s="184"/>
      <c r="BP582" s="184"/>
      <c r="BQ582" s="184"/>
      <c r="BR582" s="184"/>
      <c r="BS582" s="184"/>
      <c r="BT582" s="184"/>
      <c r="BU582" s="184"/>
      <c r="BV582" s="184"/>
      <c r="BW582" s="184"/>
    </row>
    <row r="583" spans="1:75" s="75" customFormat="1" ht="49.95" customHeight="1" x14ac:dyDescent="0.3">
      <c r="A583" s="173">
        <f t="shared" si="13"/>
        <v>1458</v>
      </c>
      <c r="B583" s="59">
        <v>2021</v>
      </c>
      <c r="C583" s="59" t="s">
        <v>1692</v>
      </c>
      <c r="D583" s="59" t="s">
        <v>1693</v>
      </c>
      <c r="E583" s="103"/>
      <c r="F583" s="174"/>
      <c r="G583" s="162"/>
    </row>
    <row r="584" spans="1:75" s="75" customFormat="1" ht="49.95" customHeight="1" x14ac:dyDescent="0.3">
      <c r="A584" s="173">
        <f t="shared" si="13"/>
        <v>1459</v>
      </c>
      <c r="B584" s="59" t="s">
        <v>216</v>
      </c>
      <c r="C584" s="59" t="s">
        <v>1694</v>
      </c>
      <c r="D584" s="59" t="s">
        <v>1695</v>
      </c>
      <c r="E584" s="103"/>
      <c r="F584" s="85" t="s">
        <v>145</v>
      </c>
      <c r="G584" s="162"/>
    </row>
    <row r="585" spans="1:75" s="75" customFormat="1" ht="49.95" customHeight="1" x14ac:dyDescent="0.3">
      <c r="A585" s="173">
        <f t="shared" si="13"/>
        <v>1460</v>
      </c>
      <c r="B585" s="59">
        <v>2022</v>
      </c>
      <c r="C585" s="59" t="s">
        <v>1696</v>
      </c>
      <c r="D585" s="59" t="s">
        <v>1697</v>
      </c>
      <c r="E585" s="103"/>
      <c r="F585" s="85" t="s">
        <v>184</v>
      </c>
      <c r="G585" s="162"/>
    </row>
    <row r="586" spans="1:75" s="75" customFormat="1" ht="49.95" customHeight="1" x14ac:dyDescent="0.3">
      <c r="A586" s="173">
        <f t="shared" si="13"/>
        <v>1461</v>
      </c>
      <c r="B586" s="59" t="s">
        <v>216</v>
      </c>
      <c r="C586" s="59" t="s">
        <v>1698</v>
      </c>
      <c r="D586" s="59" t="s">
        <v>1699</v>
      </c>
      <c r="E586" s="103"/>
      <c r="F586" s="85" t="s">
        <v>145</v>
      </c>
      <c r="G586" s="162"/>
    </row>
    <row r="587" spans="1:75" s="131" customFormat="1" ht="49.95" customHeight="1" x14ac:dyDescent="0.3">
      <c r="A587" s="173">
        <f t="shared" si="13"/>
        <v>1462</v>
      </c>
      <c r="B587" s="59">
        <v>2019</v>
      </c>
      <c r="C587" s="59" t="s">
        <v>1700</v>
      </c>
      <c r="D587" s="59" t="s">
        <v>1701</v>
      </c>
      <c r="E587" s="103"/>
      <c r="F587" s="85" t="s">
        <v>49</v>
      </c>
      <c r="G587" s="162"/>
    </row>
    <row r="588" spans="1:75" s="131" customFormat="1" ht="49.95" customHeight="1" x14ac:dyDescent="0.3">
      <c r="A588" s="211" t="s">
        <v>996</v>
      </c>
      <c r="B588" s="212"/>
      <c r="C588" s="212"/>
      <c r="D588" s="212"/>
      <c r="E588" s="212"/>
      <c r="F588" s="212"/>
      <c r="G588" s="212"/>
      <c r="H588" s="212"/>
      <c r="I588" s="212"/>
      <c r="J588" s="212"/>
      <c r="K588" s="212"/>
      <c r="L588" s="212"/>
      <c r="M588" s="212"/>
      <c r="N588" s="212"/>
      <c r="O588" s="212"/>
      <c r="P588" s="213"/>
    </row>
    <row r="589" spans="1:75" s="131" customFormat="1" ht="49.95" customHeight="1" x14ac:dyDescent="0.45">
      <c r="A589" s="44" t="s">
        <v>0</v>
      </c>
      <c r="B589" s="44" t="s">
        <v>1</v>
      </c>
      <c r="C589" s="44" t="s">
        <v>2</v>
      </c>
      <c r="D589" s="44" t="s">
        <v>3</v>
      </c>
      <c r="E589" s="44" t="s">
        <v>4</v>
      </c>
      <c r="F589" s="118" t="s">
        <v>5</v>
      </c>
      <c r="G589" s="47"/>
      <c r="H589" s="48"/>
      <c r="I589" s="48"/>
      <c r="J589" s="77"/>
      <c r="K589" s="86"/>
      <c r="L589" s="191"/>
      <c r="M589" s="192"/>
      <c r="N589" s="191"/>
      <c r="O589" s="77"/>
      <c r="P589" s="189"/>
    </row>
    <row r="590" spans="1:75" s="131" customFormat="1" ht="49.95" customHeight="1" x14ac:dyDescent="0.3">
      <c r="A590" s="49">
        <v>120</v>
      </c>
      <c r="B590" s="50">
        <v>2017</v>
      </c>
      <c r="C590" s="50" t="s">
        <v>997</v>
      </c>
      <c r="D590" s="50" t="s">
        <v>361</v>
      </c>
      <c r="E590" s="111" t="s">
        <v>998</v>
      </c>
      <c r="F590" s="112" t="s">
        <v>999</v>
      </c>
      <c r="G590" s="141"/>
      <c r="H590" s="50"/>
      <c r="I590" s="50"/>
      <c r="J590" s="183"/>
      <c r="P590" s="192"/>
    </row>
    <row r="591" spans="1:75" s="131" customFormat="1" ht="49.95" customHeight="1" x14ac:dyDescent="0.3">
      <c r="A591" s="208" t="s">
        <v>10</v>
      </c>
      <c r="B591" s="209"/>
      <c r="C591" s="209"/>
      <c r="D591" s="209"/>
      <c r="E591" s="210"/>
      <c r="F591" s="214" t="s">
        <v>11</v>
      </c>
      <c r="G591" s="215"/>
      <c r="H591" s="205" t="s">
        <v>1733</v>
      </c>
      <c r="I591" s="200"/>
      <c r="J591" s="183"/>
    </row>
    <row r="592" spans="1:75" s="131" customFormat="1" ht="49.95" customHeight="1" x14ac:dyDescent="0.3">
      <c r="A592" s="208"/>
      <c r="B592" s="209"/>
      <c r="C592" s="209"/>
      <c r="D592" s="209"/>
      <c r="E592" s="210"/>
      <c r="F592" s="214"/>
      <c r="G592" s="215"/>
      <c r="H592" s="206"/>
      <c r="I592" s="202"/>
      <c r="J592" s="183"/>
    </row>
    <row r="593" spans="1:9" s="131" customFormat="1" ht="49.95" customHeight="1" x14ac:dyDescent="0.3">
      <c r="A593" s="208"/>
      <c r="B593" s="209"/>
      <c r="C593" s="209"/>
      <c r="D593" s="209"/>
      <c r="E593" s="210"/>
      <c r="F593" s="214"/>
      <c r="G593" s="215"/>
      <c r="H593" s="207"/>
      <c r="I593" s="204"/>
    </row>
    <row r="594" spans="1:9" s="131" customFormat="1" ht="49.95" customHeight="1" x14ac:dyDescent="0.3">
      <c r="A594" s="56" t="s">
        <v>12</v>
      </c>
      <c r="B594" s="55" t="s">
        <v>13</v>
      </c>
      <c r="C594" s="55" t="s">
        <v>14</v>
      </c>
      <c r="D594" s="55" t="s">
        <v>15</v>
      </c>
      <c r="E594" s="57" t="s">
        <v>16</v>
      </c>
      <c r="F594" s="56" t="s">
        <v>17</v>
      </c>
      <c r="G594" s="58" t="s">
        <v>18</v>
      </c>
      <c r="H594" s="56" t="s">
        <v>1735</v>
      </c>
      <c r="I594" s="55" t="s">
        <v>1737</v>
      </c>
    </row>
    <row r="595" spans="1:9" s="131" customFormat="1" ht="49.95" customHeight="1" x14ac:dyDescent="0.3">
      <c r="A595" s="66">
        <f>SUM(A531,1)</f>
        <v>1101</v>
      </c>
      <c r="B595" s="59">
        <v>2003</v>
      </c>
      <c r="C595" s="59" t="s">
        <v>1000</v>
      </c>
      <c r="D595" s="59" t="s">
        <v>608</v>
      </c>
      <c r="E595" s="26"/>
      <c r="F595" s="27"/>
      <c r="G595" s="28"/>
      <c r="H595" s="85" t="s">
        <v>67</v>
      </c>
      <c r="I595" s="114"/>
    </row>
    <row r="596" spans="1:9" s="131" customFormat="1" ht="49.95" customHeight="1" x14ac:dyDescent="0.3">
      <c r="A596" s="66">
        <f>SUM(A595,1)</f>
        <v>1102</v>
      </c>
      <c r="B596" s="59">
        <v>2016</v>
      </c>
      <c r="C596" s="59" t="s">
        <v>1001</v>
      </c>
      <c r="D596" s="59" t="s">
        <v>1002</v>
      </c>
      <c r="E596" s="26"/>
      <c r="F596" s="27"/>
      <c r="G596" s="28"/>
      <c r="H596" s="85" t="s">
        <v>184</v>
      </c>
      <c r="I596" s="114"/>
    </row>
    <row r="597" spans="1:9" s="131" customFormat="1" ht="49.95" customHeight="1" x14ac:dyDescent="0.3">
      <c r="A597" s="66">
        <f t="shared" ref="A597:A660" si="14">SUM(A596,1)</f>
        <v>1103</v>
      </c>
      <c r="B597" s="59">
        <v>2009</v>
      </c>
      <c r="C597" s="59" t="s">
        <v>1003</v>
      </c>
      <c r="D597" s="59" t="s">
        <v>1004</v>
      </c>
      <c r="E597" s="26"/>
      <c r="F597" s="27"/>
      <c r="G597" s="28"/>
      <c r="H597" s="85" t="s">
        <v>67</v>
      </c>
      <c r="I597" s="114"/>
    </row>
    <row r="598" spans="1:9" s="131" customFormat="1" ht="49.95" customHeight="1" x14ac:dyDescent="0.3">
      <c r="A598" s="66">
        <f t="shared" si="14"/>
        <v>1104</v>
      </c>
      <c r="B598" s="59">
        <v>2014</v>
      </c>
      <c r="C598" s="59" t="s">
        <v>1005</v>
      </c>
      <c r="D598" s="59" t="s">
        <v>1006</v>
      </c>
      <c r="E598" s="26"/>
      <c r="F598" s="27"/>
      <c r="G598" s="28"/>
      <c r="H598" s="85" t="s">
        <v>67</v>
      </c>
      <c r="I598" s="114"/>
    </row>
    <row r="599" spans="1:9" s="131" customFormat="1" ht="49.95" customHeight="1" x14ac:dyDescent="0.3">
      <c r="A599" s="66">
        <f t="shared" si="14"/>
        <v>1105</v>
      </c>
      <c r="B599" s="59">
        <v>2010</v>
      </c>
      <c r="C599" s="59" t="s">
        <v>1007</v>
      </c>
      <c r="D599" s="59" t="s">
        <v>1008</v>
      </c>
      <c r="E599" s="26"/>
      <c r="F599" s="27"/>
      <c r="G599" s="28"/>
      <c r="H599" s="85" t="s">
        <v>67</v>
      </c>
      <c r="I599" s="114"/>
    </row>
    <row r="600" spans="1:9" s="131" customFormat="1" ht="49.95" customHeight="1" x14ac:dyDescent="0.3">
      <c r="A600" s="66">
        <f t="shared" si="14"/>
        <v>1106</v>
      </c>
      <c r="B600" s="59">
        <v>2011</v>
      </c>
      <c r="C600" s="59" t="s">
        <v>1009</v>
      </c>
      <c r="D600" s="59" t="s">
        <v>1010</v>
      </c>
      <c r="E600" s="26"/>
      <c r="F600" s="27"/>
      <c r="G600" s="28"/>
      <c r="H600" s="85" t="s">
        <v>67</v>
      </c>
      <c r="I600" s="114"/>
    </row>
    <row r="601" spans="1:9" s="131" customFormat="1" ht="49.95" customHeight="1" x14ac:dyDescent="0.3">
      <c r="A601" s="66">
        <f t="shared" si="14"/>
        <v>1107</v>
      </c>
      <c r="B601" s="59">
        <v>2012</v>
      </c>
      <c r="C601" s="59" t="s">
        <v>1011</v>
      </c>
      <c r="D601" s="59" t="s">
        <v>1012</v>
      </c>
      <c r="E601" s="26"/>
      <c r="F601" s="27"/>
      <c r="G601" s="28"/>
      <c r="H601" s="85" t="s">
        <v>67</v>
      </c>
      <c r="I601" s="114"/>
    </row>
    <row r="602" spans="1:9" s="131" customFormat="1" ht="49.95" customHeight="1" x14ac:dyDescent="0.3">
      <c r="A602" s="66">
        <f t="shared" si="14"/>
        <v>1108</v>
      </c>
      <c r="B602" s="59" t="s">
        <v>1013</v>
      </c>
      <c r="C602" s="59" t="s">
        <v>1014</v>
      </c>
      <c r="D602" s="59" t="s">
        <v>1015</v>
      </c>
      <c r="E602" s="26"/>
      <c r="F602" s="27"/>
      <c r="G602" s="28"/>
      <c r="H602" s="85" t="s">
        <v>145</v>
      </c>
      <c r="I602" s="114"/>
    </row>
    <row r="603" spans="1:9" s="131" customFormat="1" ht="49.95" customHeight="1" x14ac:dyDescent="0.3">
      <c r="A603" s="66">
        <f t="shared" si="14"/>
        <v>1109</v>
      </c>
      <c r="B603" s="59">
        <v>2016</v>
      </c>
      <c r="C603" s="59" t="s">
        <v>1016</v>
      </c>
      <c r="D603" s="59" t="s">
        <v>1017</v>
      </c>
      <c r="E603" s="142" t="s">
        <v>1018</v>
      </c>
      <c r="F603" s="27"/>
      <c r="G603" s="28"/>
      <c r="H603" s="85" t="s">
        <v>261</v>
      </c>
      <c r="I603" s="114"/>
    </row>
    <row r="604" spans="1:9" s="131" customFormat="1" ht="49.95" customHeight="1" x14ac:dyDescent="0.3">
      <c r="A604" s="66">
        <f t="shared" si="14"/>
        <v>1110</v>
      </c>
      <c r="B604" s="59">
        <v>2009</v>
      </c>
      <c r="C604" s="59" t="s">
        <v>1019</v>
      </c>
      <c r="D604" s="59" t="s">
        <v>1020</v>
      </c>
      <c r="E604" s="26"/>
      <c r="F604" s="27"/>
      <c r="G604" s="28"/>
      <c r="H604" s="85" t="s">
        <v>67</v>
      </c>
      <c r="I604" s="114"/>
    </row>
    <row r="605" spans="1:9" s="131" customFormat="1" ht="49.95" customHeight="1" x14ac:dyDescent="0.3">
      <c r="A605" s="66">
        <f t="shared" si="14"/>
        <v>1111</v>
      </c>
      <c r="B605" s="59">
        <v>1996</v>
      </c>
      <c r="C605" s="59" t="s">
        <v>1021</v>
      </c>
      <c r="D605" s="59" t="s">
        <v>1022</v>
      </c>
      <c r="E605" s="26"/>
      <c r="F605" s="27"/>
      <c r="G605" s="28"/>
      <c r="H605" s="85" t="s">
        <v>67</v>
      </c>
      <c r="I605" s="114"/>
    </row>
    <row r="606" spans="1:9" s="131" customFormat="1" ht="49.95" customHeight="1" x14ac:dyDescent="0.3">
      <c r="A606" s="66">
        <f t="shared" si="14"/>
        <v>1112</v>
      </c>
      <c r="B606" s="59">
        <v>2016</v>
      </c>
      <c r="C606" s="59" t="s">
        <v>1023</v>
      </c>
      <c r="D606" s="59" t="s">
        <v>1024</v>
      </c>
      <c r="E606" s="26"/>
      <c r="F606" s="27"/>
      <c r="G606" s="28"/>
      <c r="H606" s="85" t="s">
        <v>145</v>
      </c>
      <c r="I606" s="114"/>
    </row>
    <row r="607" spans="1:9" s="131" customFormat="1" ht="49.95" customHeight="1" x14ac:dyDescent="0.3">
      <c r="A607" s="66">
        <f t="shared" si="14"/>
        <v>1113</v>
      </c>
      <c r="B607" s="59">
        <v>2012</v>
      </c>
      <c r="C607" s="59" t="s">
        <v>1025</v>
      </c>
      <c r="D607" s="59" t="s">
        <v>1026</v>
      </c>
      <c r="E607" s="26"/>
      <c r="F607" s="27"/>
      <c r="G607" s="28"/>
      <c r="H607" s="85" t="s">
        <v>67</v>
      </c>
      <c r="I607" s="114"/>
    </row>
    <row r="608" spans="1:9" s="131" customFormat="1" ht="49.95" customHeight="1" x14ac:dyDescent="0.3">
      <c r="A608" s="66">
        <f t="shared" si="14"/>
        <v>1114</v>
      </c>
      <c r="B608" s="59">
        <v>2015</v>
      </c>
      <c r="C608" s="59" t="s">
        <v>1027</v>
      </c>
      <c r="D608" s="59" t="s">
        <v>1028</v>
      </c>
      <c r="E608" s="142" t="s">
        <v>1029</v>
      </c>
      <c r="F608" s="95"/>
      <c r="G608" s="96"/>
      <c r="H608" s="85" t="s">
        <v>261</v>
      </c>
      <c r="I608" s="114"/>
    </row>
    <row r="609" spans="1:9" s="131" customFormat="1" ht="49.95" customHeight="1" x14ac:dyDescent="0.3">
      <c r="A609" s="66">
        <f t="shared" si="14"/>
        <v>1115</v>
      </c>
      <c r="B609" s="59">
        <v>2017</v>
      </c>
      <c r="C609" s="59" t="s">
        <v>1030</v>
      </c>
      <c r="D609" s="59" t="s">
        <v>1031</v>
      </c>
      <c r="E609" s="142" t="s">
        <v>1032</v>
      </c>
      <c r="F609" s="61"/>
      <c r="G609" s="62"/>
      <c r="H609" s="85" t="s">
        <v>463</v>
      </c>
      <c r="I609" s="114"/>
    </row>
    <row r="610" spans="1:9" s="131" customFormat="1" ht="49.95" customHeight="1" x14ac:dyDescent="0.3">
      <c r="A610" s="66">
        <f t="shared" si="14"/>
        <v>1116</v>
      </c>
      <c r="B610" s="59">
        <v>2015</v>
      </c>
      <c r="C610" s="59" t="s">
        <v>1030</v>
      </c>
      <c r="D610" s="59" t="s">
        <v>1033</v>
      </c>
      <c r="E610" s="142" t="s">
        <v>1034</v>
      </c>
      <c r="F610" s="61"/>
      <c r="G610" s="62"/>
      <c r="H610" s="85" t="s">
        <v>463</v>
      </c>
      <c r="I610" s="133"/>
    </row>
    <row r="611" spans="1:9" s="131" customFormat="1" ht="49.95" customHeight="1" x14ac:dyDescent="0.3">
      <c r="A611" s="66">
        <f t="shared" si="14"/>
        <v>1117</v>
      </c>
      <c r="B611" s="59">
        <v>2014</v>
      </c>
      <c r="C611" s="59" t="s">
        <v>1030</v>
      </c>
      <c r="D611" s="59" t="s">
        <v>1035</v>
      </c>
      <c r="E611" s="26"/>
      <c r="F611" s="27"/>
      <c r="G611" s="28"/>
      <c r="H611" s="85" t="s">
        <v>67</v>
      </c>
      <c r="I611" s="114"/>
    </row>
    <row r="612" spans="1:9" s="131" customFormat="1" ht="49.95" customHeight="1" x14ac:dyDescent="0.3">
      <c r="A612" s="66">
        <f t="shared" si="14"/>
        <v>1118</v>
      </c>
      <c r="B612" s="59">
        <v>2016</v>
      </c>
      <c r="C612" s="59" t="s">
        <v>1030</v>
      </c>
      <c r="D612" s="59" t="s">
        <v>1036</v>
      </c>
      <c r="E612" s="142" t="s">
        <v>1037</v>
      </c>
      <c r="F612" s="95"/>
      <c r="G612" s="96"/>
      <c r="H612" s="85" t="s">
        <v>261</v>
      </c>
      <c r="I612" s="114"/>
    </row>
    <row r="613" spans="1:9" s="131" customFormat="1" ht="49.95" customHeight="1" x14ac:dyDescent="0.3">
      <c r="A613" s="66">
        <f t="shared" si="14"/>
        <v>1119</v>
      </c>
      <c r="B613" s="59">
        <v>2016</v>
      </c>
      <c r="C613" s="59" t="s">
        <v>1038</v>
      </c>
      <c r="D613" s="59" t="s">
        <v>1039</v>
      </c>
      <c r="E613" s="143"/>
      <c r="F613" s="95"/>
      <c r="G613" s="96"/>
      <c r="H613" s="85" t="s">
        <v>261</v>
      </c>
      <c r="I613" s="114"/>
    </row>
    <row r="614" spans="1:9" s="131" customFormat="1" ht="49.95" customHeight="1" x14ac:dyDescent="0.3">
      <c r="A614" s="66">
        <f t="shared" si="14"/>
        <v>1120</v>
      </c>
      <c r="B614" s="59">
        <v>2014</v>
      </c>
      <c r="C614" s="59" t="s">
        <v>1040</v>
      </c>
      <c r="D614" s="59" t="s">
        <v>1041</v>
      </c>
      <c r="E614" s="26"/>
      <c r="F614" s="27"/>
      <c r="G614" s="28"/>
      <c r="H614" s="85" t="s">
        <v>67</v>
      </c>
      <c r="I614" s="114"/>
    </row>
    <row r="615" spans="1:9" s="131" customFormat="1" ht="49.95" customHeight="1" x14ac:dyDescent="0.3">
      <c r="A615" s="66">
        <f t="shared" si="14"/>
        <v>1121</v>
      </c>
      <c r="B615" s="59">
        <v>2008</v>
      </c>
      <c r="C615" s="59" t="s">
        <v>1042</v>
      </c>
      <c r="D615" s="59" t="s">
        <v>1043</v>
      </c>
      <c r="E615" s="26"/>
      <c r="F615" s="27"/>
      <c r="G615" s="28"/>
      <c r="H615" s="85" t="s">
        <v>67</v>
      </c>
      <c r="I615" s="114"/>
    </row>
    <row r="616" spans="1:9" s="131" customFormat="1" ht="49.95" customHeight="1" x14ac:dyDescent="0.3">
      <c r="A616" s="66">
        <f t="shared" si="14"/>
        <v>1122</v>
      </c>
      <c r="B616" s="59">
        <v>2010</v>
      </c>
      <c r="C616" s="59" t="s">
        <v>1044</v>
      </c>
      <c r="D616" s="59" t="s">
        <v>1045</v>
      </c>
      <c r="E616" s="26"/>
      <c r="F616" s="27"/>
      <c r="G616" s="28"/>
      <c r="H616" s="85" t="s">
        <v>67</v>
      </c>
      <c r="I616" s="114"/>
    </row>
    <row r="617" spans="1:9" s="131" customFormat="1" ht="49.95" customHeight="1" x14ac:dyDescent="0.3">
      <c r="A617" s="66">
        <f t="shared" si="14"/>
        <v>1123</v>
      </c>
      <c r="B617" s="59">
        <v>2014</v>
      </c>
      <c r="C617" s="59" t="s">
        <v>1046</v>
      </c>
      <c r="D617" s="59" t="s">
        <v>1047</v>
      </c>
      <c r="E617" s="26"/>
      <c r="F617" s="27"/>
      <c r="G617" s="28"/>
      <c r="H617" s="85" t="s">
        <v>67</v>
      </c>
      <c r="I617" s="114"/>
    </row>
    <row r="618" spans="1:9" s="131" customFormat="1" ht="49.95" customHeight="1" x14ac:dyDescent="0.3">
      <c r="A618" s="66">
        <f t="shared" si="14"/>
        <v>1124</v>
      </c>
      <c r="B618" s="59">
        <v>2010</v>
      </c>
      <c r="C618" s="59" t="s">
        <v>1048</v>
      </c>
      <c r="D618" s="59" t="s">
        <v>609</v>
      </c>
      <c r="E618" s="26"/>
      <c r="F618" s="27"/>
      <c r="G618" s="28"/>
      <c r="H618" s="85" t="s">
        <v>67</v>
      </c>
      <c r="I618" s="114"/>
    </row>
    <row r="619" spans="1:9" s="131" customFormat="1" ht="49.95" customHeight="1" x14ac:dyDescent="0.3">
      <c r="A619" s="66">
        <f t="shared" si="14"/>
        <v>1125</v>
      </c>
      <c r="B619" s="59">
        <v>2015</v>
      </c>
      <c r="C619" s="59" t="s">
        <v>1049</v>
      </c>
      <c r="D619" s="59" t="s">
        <v>1050</v>
      </c>
      <c r="E619" s="143"/>
      <c r="F619" s="95"/>
      <c r="G619" s="96"/>
      <c r="H619" s="85" t="s">
        <v>261</v>
      </c>
      <c r="I619" s="114"/>
    </row>
    <row r="620" spans="1:9" s="131" customFormat="1" ht="49.95" customHeight="1" x14ac:dyDescent="0.3">
      <c r="A620" s="66">
        <f t="shared" si="14"/>
        <v>1126</v>
      </c>
      <c r="B620" s="59">
        <v>2012</v>
      </c>
      <c r="C620" s="59" t="s">
        <v>1051</v>
      </c>
      <c r="D620" s="59" t="s">
        <v>1052</v>
      </c>
      <c r="E620" s="26"/>
      <c r="F620" s="27"/>
      <c r="G620" s="28"/>
      <c r="H620" s="85" t="s">
        <v>67</v>
      </c>
      <c r="I620" s="114"/>
    </row>
    <row r="621" spans="1:9" s="131" customFormat="1" ht="49.95" customHeight="1" x14ac:dyDescent="0.3">
      <c r="A621" s="66">
        <f t="shared" si="14"/>
        <v>1127</v>
      </c>
      <c r="B621" s="59">
        <v>2016</v>
      </c>
      <c r="C621" s="59" t="s">
        <v>1053</v>
      </c>
      <c r="D621" s="59" t="s">
        <v>1054</v>
      </c>
      <c r="E621" s="143"/>
      <c r="F621" s="61"/>
      <c r="G621" s="62"/>
      <c r="H621" s="101"/>
      <c r="I621" s="144" t="s">
        <v>1055</v>
      </c>
    </row>
    <row r="622" spans="1:9" s="131" customFormat="1" ht="49.95" customHeight="1" x14ac:dyDescent="0.3">
      <c r="A622" s="66">
        <f t="shared" si="14"/>
        <v>1128</v>
      </c>
      <c r="B622" s="59">
        <v>2011</v>
      </c>
      <c r="C622" s="59" t="s">
        <v>1056</v>
      </c>
      <c r="D622" s="59" t="s">
        <v>1057</v>
      </c>
      <c r="E622" s="26"/>
      <c r="F622" s="27"/>
      <c r="G622" s="28"/>
      <c r="H622" s="85" t="s">
        <v>67</v>
      </c>
      <c r="I622" s="114"/>
    </row>
    <row r="623" spans="1:9" s="131" customFormat="1" ht="49.95" customHeight="1" x14ac:dyDescent="0.3">
      <c r="A623" s="66">
        <f t="shared" si="14"/>
        <v>1129</v>
      </c>
      <c r="B623" s="59">
        <v>2007</v>
      </c>
      <c r="C623" s="59" t="s">
        <v>1058</v>
      </c>
      <c r="D623" s="59" t="s">
        <v>1059</v>
      </c>
      <c r="E623" s="26"/>
      <c r="F623" s="27"/>
      <c r="G623" s="28"/>
      <c r="H623" s="85" t="s">
        <v>67</v>
      </c>
      <c r="I623" s="114"/>
    </row>
    <row r="624" spans="1:9" s="131" customFormat="1" ht="49.95" customHeight="1" x14ac:dyDescent="0.3">
      <c r="A624" s="66">
        <f t="shared" si="14"/>
        <v>1130</v>
      </c>
      <c r="B624" s="59">
        <v>2008</v>
      </c>
      <c r="C624" s="59" t="s">
        <v>1060</v>
      </c>
      <c r="D624" s="59" t="s">
        <v>1061</v>
      </c>
      <c r="E624" s="26"/>
      <c r="F624" s="27"/>
      <c r="G624" s="28"/>
      <c r="H624" s="85" t="s">
        <v>67</v>
      </c>
      <c r="I624" s="114"/>
    </row>
    <row r="625" spans="1:9" s="131" customFormat="1" ht="49.95" customHeight="1" x14ac:dyDescent="0.3">
      <c r="A625" s="66">
        <f t="shared" si="14"/>
        <v>1131</v>
      </c>
      <c r="B625" s="59">
        <v>2015</v>
      </c>
      <c r="C625" s="59" t="s">
        <v>1062</v>
      </c>
      <c r="D625" s="59" t="s">
        <v>1063</v>
      </c>
      <c r="E625" s="143"/>
      <c r="F625" s="61"/>
      <c r="G625" s="62"/>
      <c r="H625" s="101"/>
      <c r="I625" s="144" t="s">
        <v>1055</v>
      </c>
    </row>
    <row r="626" spans="1:9" s="131" customFormat="1" ht="49.95" customHeight="1" x14ac:dyDescent="0.3">
      <c r="A626" s="66">
        <f t="shared" si="14"/>
        <v>1132</v>
      </c>
      <c r="B626" s="59">
        <v>2019</v>
      </c>
      <c r="C626" s="59" t="s">
        <v>1064</v>
      </c>
      <c r="D626" s="59" t="s">
        <v>1065</v>
      </c>
      <c r="E626" s="26"/>
      <c r="F626" s="27"/>
      <c r="G626" s="28"/>
      <c r="H626" s="85" t="s">
        <v>145</v>
      </c>
      <c r="I626" s="114"/>
    </row>
    <row r="627" spans="1:9" s="131" customFormat="1" ht="49.95" customHeight="1" x14ac:dyDescent="0.3">
      <c r="A627" s="66">
        <f t="shared" si="14"/>
        <v>1133</v>
      </c>
      <c r="B627" s="59">
        <v>2022</v>
      </c>
      <c r="C627" s="59" t="s">
        <v>1066</v>
      </c>
      <c r="D627" s="59" t="s">
        <v>840</v>
      </c>
      <c r="E627" s="26"/>
      <c r="F627" s="27"/>
      <c r="G627" s="28"/>
      <c r="H627" s="85" t="s">
        <v>145</v>
      </c>
      <c r="I627" s="114"/>
    </row>
    <row r="628" spans="1:9" s="131" customFormat="1" ht="49.95" customHeight="1" x14ac:dyDescent="0.3">
      <c r="A628" s="66">
        <f t="shared" si="14"/>
        <v>1134</v>
      </c>
      <c r="B628" s="59">
        <v>2020</v>
      </c>
      <c r="C628" s="59" t="s">
        <v>1067</v>
      </c>
      <c r="D628" s="59" t="s">
        <v>419</v>
      </c>
      <c r="E628" s="26"/>
      <c r="F628" s="27"/>
      <c r="G628" s="28"/>
      <c r="H628" s="85" t="s">
        <v>184</v>
      </c>
      <c r="I628" s="114"/>
    </row>
    <row r="629" spans="1:9" s="131" customFormat="1" ht="49.95" customHeight="1" x14ac:dyDescent="0.3">
      <c r="A629" s="66">
        <f t="shared" si="14"/>
        <v>1135</v>
      </c>
      <c r="B629" s="59">
        <v>2022</v>
      </c>
      <c r="C629" s="59" t="s">
        <v>1068</v>
      </c>
      <c r="D629" s="59" t="s">
        <v>1069</v>
      </c>
      <c r="E629" s="145"/>
      <c r="F629" s="61"/>
      <c r="G629" s="62"/>
      <c r="H629" s="85" t="s">
        <v>184</v>
      </c>
      <c r="I629" s="146"/>
    </row>
    <row r="630" spans="1:9" s="131" customFormat="1" ht="49.95" customHeight="1" x14ac:dyDescent="0.3">
      <c r="A630" s="66">
        <f t="shared" si="14"/>
        <v>1136</v>
      </c>
      <c r="B630" s="59">
        <v>2023</v>
      </c>
      <c r="C630" s="59" t="s">
        <v>1070</v>
      </c>
      <c r="D630" s="59" t="s">
        <v>1071</v>
      </c>
      <c r="E630" s="26"/>
      <c r="F630" s="27"/>
      <c r="G630" s="28"/>
      <c r="H630" s="85" t="s">
        <v>184</v>
      </c>
      <c r="I630" s="114"/>
    </row>
    <row r="631" spans="1:9" s="131" customFormat="1" ht="49.95" customHeight="1" x14ac:dyDescent="0.3">
      <c r="A631" s="66">
        <f t="shared" si="14"/>
        <v>1137</v>
      </c>
      <c r="B631" s="59">
        <v>2024</v>
      </c>
      <c r="C631" s="59" t="s">
        <v>1072</v>
      </c>
      <c r="D631" s="59" t="s">
        <v>415</v>
      </c>
      <c r="E631" s="26"/>
      <c r="F631" s="27"/>
      <c r="G631" s="28"/>
      <c r="H631" s="85" t="s">
        <v>145</v>
      </c>
      <c r="I631" s="114"/>
    </row>
    <row r="632" spans="1:9" s="131" customFormat="1" ht="49.95" customHeight="1" x14ac:dyDescent="0.3">
      <c r="A632" s="66">
        <f t="shared" si="14"/>
        <v>1138</v>
      </c>
      <c r="B632" s="59">
        <v>2022</v>
      </c>
      <c r="C632" s="59" t="s">
        <v>1073</v>
      </c>
      <c r="D632" s="59" t="s">
        <v>1074</v>
      </c>
      <c r="E632" s="86"/>
      <c r="F632" s="95"/>
      <c r="G632" s="96"/>
      <c r="H632" s="101"/>
      <c r="I632" s="144" t="s">
        <v>70</v>
      </c>
    </row>
    <row r="633" spans="1:9" s="131" customFormat="1" ht="49.95" customHeight="1" x14ac:dyDescent="0.3">
      <c r="A633" s="66">
        <f t="shared" si="14"/>
        <v>1139</v>
      </c>
      <c r="B633" s="59">
        <v>2019</v>
      </c>
      <c r="C633" s="59" t="s">
        <v>1075</v>
      </c>
      <c r="D633" s="59" t="s">
        <v>61</v>
      </c>
      <c r="E633" s="26"/>
      <c r="F633" s="27"/>
      <c r="G633" s="28"/>
      <c r="H633" s="85" t="s">
        <v>184</v>
      </c>
      <c r="I633" s="114"/>
    </row>
    <row r="634" spans="1:9" s="131" customFormat="1" ht="49.95" customHeight="1" x14ac:dyDescent="0.3">
      <c r="A634" s="66">
        <f t="shared" si="14"/>
        <v>1140</v>
      </c>
      <c r="B634" s="59">
        <v>2021</v>
      </c>
      <c r="C634" s="59" t="s">
        <v>1076</v>
      </c>
      <c r="D634" s="59" t="s">
        <v>1077</v>
      </c>
      <c r="E634" s="145"/>
      <c r="F634" s="61"/>
      <c r="G634" s="62"/>
      <c r="H634" s="101"/>
      <c r="I634" s="144" t="s">
        <v>127</v>
      </c>
    </row>
    <row r="635" spans="1:9" s="131" customFormat="1" ht="49.95" customHeight="1" x14ac:dyDescent="0.3">
      <c r="A635" s="66">
        <f t="shared" si="14"/>
        <v>1141</v>
      </c>
      <c r="B635" s="59">
        <v>2018</v>
      </c>
      <c r="C635" s="59" t="s">
        <v>1078</v>
      </c>
      <c r="D635" s="59" t="s">
        <v>1079</v>
      </c>
      <c r="E635" s="145"/>
      <c r="F635" s="61"/>
      <c r="G635" s="62"/>
      <c r="H635" s="101"/>
      <c r="I635" s="144" t="s">
        <v>127</v>
      </c>
    </row>
    <row r="636" spans="1:9" s="131" customFormat="1" ht="49.95" customHeight="1" x14ac:dyDescent="0.3">
      <c r="A636" s="66">
        <f t="shared" si="14"/>
        <v>1142</v>
      </c>
      <c r="B636" s="59">
        <v>2021</v>
      </c>
      <c r="C636" s="59" t="s">
        <v>1080</v>
      </c>
      <c r="D636" s="59" t="s">
        <v>1081</v>
      </c>
      <c r="E636" s="26"/>
      <c r="F636" s="27"/>
      <c r="G636" s="147"/>
      <c r="H636" s="85" t="s">
        <v>145</v>
      </c>
      <c r="I636" s="114"/>
    </row>
    <row r="637" spans="1:9" s="131" customFormat="1" ht="49.95" customHeight="1" x14ac:dyDescent="0.3">
      <c r="A637" s="66">
        <f t="shared" si="14"/>
        <v>1143</v>
      </c>
      <c r="B637" s="59">
        <v>2018</v>
      </c>
      <c r="C637" s="59" t="s">
        <v>1082</v>
      </c>
      <c r="D637" s="59" t="s">
        <v>1083</v>
      </c>
      <c r="E637" s="86"/>
      <c r="F637" s="95"/>
      <c r="G637" s="96"/>
      <c r="H637" s="101"/>
      <c r="I637" s="144" t="s">
        <v>70</v>
      </c>
    </row>
    <row r="638" spans="1:9" s="131" customFormat="1" ht="49.95" customHeight="1" x14ac:dyDescent="0.3">
      <c r="A638" s="66">
        <f t="shared" si="14"/>
        <v>1144</v>
      </c>
      <c r="B638" s="59">
        <v>2021</v>
      </c>
      <c r="C638" s="59" t="s">
        <v>1084</v>
      </c>
      <c r="D638" s="59" t="s">
        <v>1085</v>
      </c>
      <c r="E638" s="86"/>
      <c r="F638" s="95"/>
      <c r="G638" s="96"/>
      <c r="H638" s="130"/>
      <c r="I638" s="148" t="s">
        <v>127</v>
      </c>
    </row>
    <row r="639" spans="1:9" s="131" customFormat="1" ht="49.95" customHeight="1" x14ac:dyDescent="0.3">
      <c r="A639" s="66">
        <f t="shared" si="14"/>
        <v>1145</v>
      </c>
      <c r="B639" s="59">
        <v>2022</v>
      </c>
      <c r="C639" s="59" t="s">
        <v>1086</v>
      </c>
      <c r="D639" s="59" t="s">
        <v>1087</v>
      </c>
      <c r="E639" s="145"/>
      <c r="F639" s="61"/>
      <c r="G639" s="62"/>
      <c r="H639" s="101"/>
      <c r="I639" s="144" t="s">
        <v>70</v>
      </c>
    </row>
    <row r="640" spans="1:9" s="131" customFormat="1" ht="49.95" customHeight="1" x14ac:dyDescent="0.3">
      <c r="A640" s="66">
        <f t="shared" si="14"/>
        <v>1146</v>
      </c>
      <c r="B640" s="59">
        <v>2024</v>
      </c>
      <c r="C640" s="59" t="s">
        <v>1088</v>
      </c>
      <c r="D640" s="59" t="s">
        <v>1089</v>
      </c>
      <c r="E640" s="26"/>
      <c r="F640" s="27"/>
      <c r="G640" s="28"/>
      <c r="H640" s="85" t="s">
        <v>145</v>
      </c>
      <c r="I640" s="114"/>
    </row>
    <row r="641" spans="1:9" s="131" customFormat="1" ht="49.95" customHeight="1" x14ac:dyDescent="0.3">
      <c r="A641" s="66">
        <f t="shared" si="14"/>
        <v>1147</v>
      </c>
      <c r="B641" s="59">
        <v>2023</v>
      </c>
      <c r="C641" s="59" t="s">
        <v>1090</v>
      </c>
      <c r="D641" s="59" t="s">
        <v>1091</v>
      </c>
      <c r="E641" s="145"/>
      <c r="F641" s="61"/>
      <c r="G641" s="62"/>
      <c r="H641" s="85" t="s">
        <v>261</v>
      </c>
      <c r="I641" s="114"/>
    </row>
    <row r="642" spans="1:9" s="131" customFormat="1" ht="49.95" customHeight="1" x14ac:dyDescent="0.3">
      <c r="A642" s="66">
        <f t="shared" si="14"/>
        <v>1148</v>
      </c>
      <c r="B642" s="59">
        <v>2025</v>
      </c>
      <c r="C642" s="59" t="s">
        <v>1092</v>
      </c>
      <c r="D642" s="59" t="s">
        <v>560</v>
      </c>
      <c r="E642" s="26"/>
      <c r="F642" s="27"/>
      <c r="G642" s="28"/>
      <c r="H642" s="85" t="s">
        <v>145</v>
      </c>
      <c r="I642" s="114"/>
    </row>
    <row r="643" spans="1:9" s="131" customFormat="1" ht="49.95" customHeight="1" x14ac:dyDescent="0.3">
      <c r="A643" s="66">
        <f t="shared" si="14"/>
        <v>1149</v>
      </c>
      <c r="B643" s="59">
        <v>2022</v>
      </c>
      <c r="C643" s="59" t="s">
        <v>1093</v>
      </c>
      <c r="D643" s="59" t="s">
        <v>442</v>
      </c>
      <c r="E643" s="26"/>
      <c r="F643" s="27"/>
      <c r="G643" s="28"/>
      <c r="H643" s="85" t="s">
        <v>184</v>
      </c>
      <c r="I643" s="114"/>
    </row>
    <row r="644" spans="1:9" s="131" customFormat="1" ht="49.95" customHeight="1" x14ac:dyDescent="0.3">
      <c r="A644" s="66">
        <f t="shared" si="14"/>
        <v>1150</v>
      </c>
      <c r="B644" s="59">
        <v>2023</v>
      </c>
      <c r="C644" s="59" t="s">
        <v>1094</v>
      </c>
      <c r="D644" s="59" t="s">
        <v>445</v>
      </c>
      <c r="E644" s="26"/>
      <c r="F644" s="27"/>
      <c r="G644" s="28"/>
      <c r="H644" s="85" t="s">
        <v>184</v>
      </c>
      <c r="I644" s="114"/>
    </row>
    <row r="645" spans="1:9" s="131" customFormat="1" ht="49.95" customHeight="1" x14ac:dyDescent="0.3">
      <c r="A645" s="66">
        <f t="shared" si="14"/>
        <v>1151</v>
      </c>
      <c r="B645" s="59">
        <v>2025</v>
      </c>
      <c r="C645" s="59" t="s">
        <v>1095</v>
      </c>
      <c r="D645" s="59" t="s">
        <v>1096</v>
      </c>
      <c r="E645" s="86"/>
      <c r="F645" s="95"/>
      <c r="G645" s="96"/>
      <c r="H645" s="85" t="s">
        <v>261</v>
      </c>
      <c r="I645" s="94"/>
    </row>
    <row r="646" spans="1:9" s="131" customFormat="1" ht="49.95" customHeight="1" x14ac:dyDescent="0.3">
      <c r="A646" s="66">
        <f t="shared" si="14"/>
        <v>1152</v>
      </c>
      <c r="B646" s="59">
        <v>2023</v>
      </c>
      <c r="C646" s="59" t="s">
        <v>1094</v>
      </c>
      <c r="D646" s="59" t="s">
        <v>1097</v>
      </c>
      <c r="E646" s="86"/>
      <c r="F646" s="95"/>
      <c r="G646" s="96"/>
      <c r="H646" s="85" t="s">
        <v>261</v>
      </c>
      <c r="I646" s="114"/>
    </row>
    <row r="647" spans="1:9" s="131" customFormat="1" ht="49.95" customHeight="1" x14ac:dyDescent="0.3">
      <c r="A647" s="66">
        <f t="shared" si="14"/>
        <v>1153</v>
      </c>
      <c r="B647" s="59">
        <v>2019</v>
      </c>
      <c r="C647" s="59" t="s">
        <v>1098</v>
      </c>
      <c r="D647" s="59" t="s">
        <v>1099</v>
      </c>
      <c r="E647" s="149" t="s">
        <v>1100</v>
      </c>
      <c r="F647" s="61"/>
      <c r="G647" s="62"/>
      <c r="H647" s="150" t="s">
        <v>1101</v>
      </c>
      <c r="I647" s="133"/>
    </row>
    <row r="648" spans="1:9" s="131" customFormat="1" ht="49.95" customHeight="1" x14ac:dyDescent="0.3">
      <c r="A648" s="66">
        <f t="shared" si="14"/>
        <v>1154</v>
      </c>
      <c r="B648" s="59">
        <v>2025</v>
      </c>
      <c r="C648" s="59" t="s">
        <v>1102</v>
      </c>
      <c r="D648" s="59" t="s">
        <v>1103</v>
      </c>
      <c r="E648" s="145" t="s">
        <v>1104</v>
      </c>
      <c r="F648" s="61"/>
      <c r="G648" s="62"/>
      <c r="H648" s="85" t="s">
        <v>261</v>
      </c>
      <c r="I648" s="114"/>
    </row>
    <row r="649" spans="1:9" s="131" customFormat="1" ht="49.95" customHeight="1" x14ac:dyDescent="0.3">
      <c r="A649" s="66">
        <f t="shared" si="14"/>
        <v>1155</v>
      </c>
      <c r="B649" s="59">
        <v>2017</v>
      </c>
      <c r="C649" s="59" t="s">
        <v>1105</v>
      </c>
      <c r="D649" s="59" t="s">
        <v>1106</v>
      </c>
      <c r="E649" s="145"/>
      <c r="F649" s="61"/>
      <c r="G649" s="62"/>
      <c r="H649" s="85" t="s">
        <v>261</v>
      </c>
      <c r="I649" s="114"/>
    </row>
    <row r="650" spans="1:9" s="131" customFormat="1" ht="49.95" customHeight="1" x14ac:dyDescent="0.3">
      <c r="A650" s="66">
        <f t="shared" si="14"/>
        <v>1156</v>
      </c>
      <c r="B650" s="59">
        <v>2019</v>
      </c>
      <c r="C650" s="59" t="s">
        <v>1107</v>
      </c>
      <c r="D650" s="59" t="s">
        <v>1108</v>
      </c>
      <c r="E650" s="86" t="s">
        <v>1109</v>
      </c>
      <c r="F650" s="95"/>
      <c r="G650" s="96"/>
      <c r="H650" s="85" t="s">
        <v>463</v>
      </c>
      <c r="I650" s="94"/>
    </row>
    <row r="651" spans="1:9" s="131" customFormat="1" ht="49.95" customHeight="1" x14ac:dyDescent="0.3">
      <c r="A651" s="66">
        <f t="shared" si="14"/>
        <v>1157</v>
      </c>
      <c r="B651" s="59">
        <v>2023</v>
      </c>
      <c r="C651" s="59" t="s">
        <v>1110</v>
      </c>
      <c r="D651" s="59" t="s">
        <v>1111</v>
      </c>
      <c r="E651" s="145"/>
      <c r="F651" s="61"/>
      <c r="G651" s="62"/>
      <c r="H651" s="85" t="s">
        <v>1112</v>
      </c>
      <c r="I651" s="114"/>
    </row>
    <row r="652" spans="1:9" s="131" customFormat="1" ht="49.95" customHeight="1" x14ac:dyDescent="0.3">
      <c r="A652" s="66">
        <f>SUM(A651,1)</f>
        <v>1158</v>
      </c>
      <c r="B652" s="59">
        <v>2019</v>
      </c>
      <c r="C652" s="59" t="s">
        <v>1113</v>
      </c>
      <c r="D652" s="59" t="s">
        <v>1114</v>
      </c>
      <c r="E652" s="145"/>
      <c r="F652" s="61"/>
      <c r="G652" s="62"/>
      <c r="H652" s="150" t="s">
        <v>1115</v>
      </c>
      <c r="I652" s="133"/>
    </row>
    <row r="653" spans="1:9" s="131" customFormat="1" ht="49.95" customHeight="1" x14ac:dyDescent="0.3">
      <c r="A653" s="66">
        <f t="shared" si="14"/>
        <v>1159</v>
      </c>
      <c r="B653" s="59">
        <v>2024</v>
      </c>
      <c r="C653" s="59" t="s">
        <v>1116</v>
      </c>
      <c r="D653" s="59" t="s">
        <v>1117</v>
      </c>
      <c r="E653" s="86" t="s">
        <v>1118</v>
      </c>
      <c r="F653" s="95"/>
      <c r="G653" s="96"/>
      <c r="H653" s="85" t="s">
        <v>463</v>
      </c>
      <c r="I653" s="94"/>
    </row>
    <row r="654" spans="1:9" s="131" customFormat="1" ht="49.95" customHeight="1" x14ac:dyDescent="0.3">
      <c r="A654" s="66">
        <f t="shared" si="14"/>
        <v>1160</v>
      </c>
      <c r="B654" s="59">
        <v>2021</v>
      </c>
      <c r="C654" s="59" t="s">
        <v>1119</v>
      </c>
      <c r="D654" s="59" t="s">
        <v>1120</v>
      </c>
      <c r="E654" s="86"/>
      <c r="F654" s="95"/>
      <c r="G654" s="96"/>
      <c r="H654" s="85" t="s">
        <v>261</v>
      </c>
      <c r="I654" s="94"/>
    </row>
    <row r="655" spans="1:9" s="131" customFormat="1" ht="49.95" customHeight="1" x14ac:dyDescent="0.3">
      <c r="A655" s="66">
        <f t="shared" si="14"/>
        <v>1161</v>
      </c>
      <c r="B655" s="59">
        <v>2018</v>
      </c>
      <c r="C655" s="59" t="s">
        <v>1121</v>
      </c>
      <c r="D655" s="59" t="s">
        <v>1122</v>
      </c>
      <c r="E655" s="86"/>
      <c r="F655" s="95"/>
      <c r="G655" s="96"/>
      <c r="H655" s="130"/>
      <c r="I655" s="148" t="s">
        <v>127</v>
      </c>
    </row>
    <row r="656" spans="1:9" s="131" customFormat="1" ht="49.95" customHeight="1" x14ac:dyDescent="0.3">
      <c r="A656" s="66">
        <f t="shared" si="14"/>
        <v>1162</v>
      </c>
      <c r="B656" s="59">
        <v>2021</v>
      </c>
      <c r="C656" s="59" t="s">
        <v>1086</v>
      </c>
      <c r="D656" s="59" t="s">
        <v>1123</v>
      </c>
      <c r="E656" s="86"/>
      <c r="F656" s="95"/>
      <c r="G656" s="96"/>
      <c r="H656" s="130"/>
      <c r="I656" s="144" t="s">
        <v>70</v>
      </c>
    </row>
    <row r="657" spans="1:9" s="131" customFormat="1" ht="49.95" customHeight="1" x14ac:dyDescent="0.3">
      <c r="A657" s="66">
        <f t="shared" si="14"/>
        <v>1163</v>
      </c>
      <c r="B657" s="59">
        <v>2017</v>
      </c>
      <c r="C657" s="59" t="s">
        <v>1124</v>
      </c>
      <c r="D657" s="59" t="s">
        <v>1125</v>
      </c>
      <c r="E657" s="86"/>
      <c r="F657" s="95"/>
      <c r="G657" s="96"/>
      <c r="H657" s="130"/>
      <c r="I657" s="148" t="s">
        <v>127</v>
      </c>
    </row>
    <row r="658" spans="1:9" s="131" customFormat="1" ht="49.95" customHeight="1" x14ac:dyDescent="0.3">
      <c r="A658" s="66">
        <f t="shared" si="14"/>
        <v>1164</v>
      </c>
      <c r="B658" s="59">
        <v>2020</v>
      </c>
      <c r="C658" s="59" t="s">
        <v>1126</v>
      </c>
      <c r="D658" s="59" t="s">
        <v>1127</v>
      </c>
      <c r="E658" s="86"/>
      <c r="F658" s="95"/>
      <c r="G658" s="96"/>
      <c r="H658" s="130"/>
      <c r="I658" s="144" t="s">
        <v>70</v>
      </c>
    </row>
    <row r="659" spans="1:9" s="131" customFormat="1" ht="49.95" customHeight="1" x14ac:dyDescent="0.3">
      <c r="A659" s="66">
        <f t="shared" si="14"/>
        <v>1165</v>
      </c>
      <c r="B659" s="59">
        <v>2020</v>
      </c>
      <c r="C659" s="59" t="s">
        <v>1128</v>
      </c>
      <c r="D659" s="59" t="s">
        <v>1129</v>
      </c>
      <c r="E659" s="86"/>
      <c r="F659" s="95"/>
      <c r="G659" s="96"/>
      <c r="H659" s="130"/>
      <c r="I659" s="148" t="s">
        <v>127</v>
      </c>
    </row>
    <row r="660" spans="1:9" s="131" customFormat="1" ht="49.95" customHeight="1" x14ac:dyDescent="0.3">
      <c r="A660" s="66">
        <f t="shared" si="14"/>
        <v>1166</v>
      </c>
      <c r="B660" s="59">
        <v>2018</v>
      </c>
      <c r="C660" s="59" t="s">
        <v>1130</v>
      </c>
      <c r="D660" s="59" t="s">
        <v>1131</v>
      </c>
      <c r="E660" s="86"/>
      <c r="F660" s="95"/>
      <c r="G660" s="96"/>
      <c r="H660" s="130"/>
      <c r="I660" s="148" t="s">
        <v>127</v>
      </c>
    </row>
    <row r="661" spans="1:9" s="131" customFormat="1" ht="49.95" customHeight="1" x14ac:dyDescent="0.3">
      <c r="A661" s="66">
        <f t="shared" ref="A661:A712" si="15">SUM(A660,1)</f>
        <v>1167</v>
      </c>
      <c r="B661" s="59">
        <v>2018</v>
      </c>
      <c r="C661" s="59" t="s">
        <v>1132</v>
      </c>
      <c r="D661" s="59" t="s">
        <v>1133</v>
      </c>
      <c r="E661" s="145"/>
      <c r="F661" s="61"/>
      <c r="G661" s="62"/>
      <c r="H661" s="101"/>
      <c r="I661" s="148" t="s">
        <v>127</v>
      </c>
    </row>
    <row r="662" spans="1:9" s="131" customFormat="1" ht="49.95" customHeight="1" x14ac:dyDescent="0.3">
      <c r="A662" s="66">
        <f t="shared" si="15"/>
        <v>1168</v>
      </c>
      <c r="B662" s="59">
        <v>2022</v>
      </c>
      <c r="C662" s="59" t="s">
        <v>1134</v>
      </c>
      <c r="D662" s="59" t="s">
        <v>1135</v>
      </c>
      <c r="E662" s="26"/>
      <c r="F662" s="27"/>
      <c r="G662" s="28"/>
      <c r="H662" s="85" t="s">
        <v>184</v>
      </c>
      <c r="I662" s="114"/>
    </row>
    <row r="663" spans="1:9" s="131" customFormat="1" ht="49.95" customHeight="1" x14ac:dyDescent="0.3">
      <c r="A663" s="66">
        <f t="shared" si="15"/>
        <v>1169</v>
      </c>
      <c r="B663" s="59">
        <v>2021</v>
      </c>
      <c r="C663" s="59" t="s">
        <v>1136</v>
      </c>
      <c r="D663" s="59" t="s">
        <v>1137</v>
      </c>
      <c r="E663" s="86"/>
      <c r="F663" s="95"/>
      <c r="G663" s="96"/>
      <c r="H663" s="130"/>
      <c r="I663" s="144" t="s">
        <v>70</v>
      </c>
    </row>
    <row r="664" spans="1:9" s="131" customFormat="1" ht="49.95" customHeight="1" x14ac:dyDescent="0.3">
      <c r="A664" s="66">
        <f t="shared" si="15"/>
        <v>1170</v>
      </c>
      <c r="B664" s="59">
        <v>2024</v>
      </c>
      <c r="C664" s="59" t="s">
        <v>1138</v>
      </c>
      <c r="D664" s="59" t="s">
        <v>1139</v>
      </c>
      <c r="E664" s="26"/>
      <c r="F664" s="27"/>
      <c r="G664" s="28"/>
      <c r="H664" s="85" t="s">
        <v>184</v>
      </c>
      <c r="I664" s="114"/>
    </row>
    <row r="665" spans="1:9" s="131" customFormat="1" ht="49.95" customHeight="1" x14ac:dyDescent="0.3">
      <c r="A665" s="66">
        <f t="shared" si="15"/>
        <v>1171</v>
      </c>
      <c r="B665" s="59">
        <v>2020</v>
      </c>
      <c r="C665" s="59" t="s">
        <v>1140</v>
      </c>
      <c r="D665" s="59" t="s">
        <v>1141</v>
      </c>
      <c r="E665" s="145"/>
      <c r="F665" s="61"/>
      <c r="G665" s="62"/>
      <c r="H665" s="101"/>
      <c r="I665" s="144" t="s">
        <v>331</v>
      </c>
    </row>
    <row r="666" spans="1:9" s="131" customFormat="1" ht="49.95" customHeight="1" x14ac:dyDescent="0.3">
      <c r="A666" s="66">
        <f t="shared" si="15"/>
        <v>1172</v>
      </c>
      <c r="B666" s="59">
        <v>2019</v>
      </c>
      <c r="C666" s="59" t="s">
        <v>1142</v>
      </c>
      <c r="D666" s="59" t="s">
        <v>1143</v>
      </c>
      <c r="E666" s="86"/>
      <c r="F666" s="95"/>
      <c r="G666" s="96"/>
      <c r="H666" s="130"/>
      <c r="I666" s="148" t="s">
        <v>127</v>
      </c>
    </row>
    <row r="667" spans="1:9" s="131" customFormat="1" ht="49.95" customHeight="1" x14ac:dyDescent="0.3">
      <c r="A667" s="66">
        <f t="shared" si="15"/>
        <v>1173</v>
      </c>
      <c r="B667" s="59">
        <v>2025</v>
      </c>
      <c r="C667" s="59" t="s">
        <v>1144</v>
      </c>
      <c r="D667" s="59" t="s">
        <v>1145</v>
      </c>
      <c r="E667" s="26"/>
      <c r="F667" s="27"/>
      <c r="G667" s="28"/>
      <c r="H667" s="85" t="s">
        <v>184</v>
      </c>
      <c r="I667" s="114"/>
    </row>
    <row r="668" spans="1:9" s="131" customFormat="1" ht="49.95" customHeight="1" x14ac:dyDescent="0.3">
      <c r="A668" s="66">
        <f t="shared" si="15"/>
        <v>1174</v>
      </c>
      <c r="B668" s="59">
        <v>2018</v>
      </c>
      <c r="C668" s="59" t="s">
        <v>1093</v>
      </c>
      <c r="D668" s="59" t="s">
        <v>1146</v>
      </c>
      <c r="E668" s="145"/>
      <c r="F668" s="95"/>
      <c r="G668" s="62"/>
      <c r="H668" s="85" t="s">
        <v>467</v>
      </c>
      <c r="I668" s="133"/>
    </row>
    <row r="669" spans="1:9" s="131" customFormat="1" ht="49.95" customHeight="1" x14ac:dyDescent="0.3">
      <c r="A669" s="66">
        <f t="shared" si="15"/>
        <v>1175</v>
      </c>
      <c r="B669" s="59">
        <v>2020</v>
      </c>
      <c r="C669" s="59" t="s">
        <v>1147</v>
      </c>
      <c r="D669" s="59" t="s">
        <v>1148</v>
      </c>
      <c r="E669" s="145"/>
      <c r="F669" s="61"/>
      <c r="G669" s="62"/>
      <c r="H669" s="85" t="s">
        <v>49</v>
      </c>
      <c r="I669" s="114"/>
    </row>
    <row r="670" spans="1:9" s="131" customFormat="1" ht="49.95" customHeight="1" x14ac:dyDescent="0.3">
      <c r="A670" s="66">
        <f t="shared" si="15"/>
        <v>1176</v>
      </c>
      <c r="B670" s="59">
        <v>2022</v>
      </c>
      <c r="C670" s="59" t="s">
        <v>1149</v>
      </c>
      <c r="D670" s="59" t="s">
        <v>1150</v>
      </c>
      <c r="E670" s="145"/>
      <c r="F670" s="61"/>
      <c r="G670" s="62"/>
      <c r="H670" s="85" t="s">
        <v>261</v>
      </c>
      <c r="I670" s="114"/>
    </row>
    <row r="671" spans="1:9" s="131" customFormat="1" ht="49.95" customHeight="1" x14ac:dyDescent="0.3">
      <c r="A671" s="66">
        <f t="shared" si="15"/>
        <v>1177</v>
      </c>
      <c r="B671" s="59">
        <v>2018</v>
      </c>
      <c r="C671" s="59" t="s">
        <v>1151</v>
      </c>
      <c r="D671" s="59" t="s">
        <v>1152</v>
      </c>
      <c r="E671" s="145"/>
      <c r="F671" s="61"/>
      <c r="G671" s="62"/>
      <c r="H671" s="85" t="s">
        <v>1112</v>
      </c>
      <c r="I671" s="114"/>
    </row>
    <row r="672" spans="1:9" s="131" customFormat="1" ht="49.95" customHeight="1" x14ac:dyDescent="0.3">
      <c r="A672" s="66">
        <f t="shared" si="15"/>
        <v>1178</v>
      </c>
      <c r="B672" s="59">
        <v>2018</v>
      </c>
      <c r="C672" s="59" t="s">
        <v>1153</v>
      </c>
      <c r="D672" s="59" t="s">
        <v>1154</v>
      </c>
      <c r="E672" s="145"/>
      <c r="F672" s="61"/>
      <c r="G672" s="62"/>
      <c r="H672" s="85" t="s">
        <v>145</v>
      </c>
      <c r="I672" s="114"/>
    </row>
    <row r="673" spans="1:9" s="131" customFormat="1" ht="49.95" customHeight="1" x14ac:dyDescent="0.3">
      <c r="A673" s="66">
        <f t="shared" si="15"/>
        <v>1179</v>
      </c>
      <c r="B673" s="59">
        <v>2018</v>
      </c>
      <c r="C673" s="59" t="s">
        <v>1155</v>
      </c>
      <c r="D673" s="59" t="s">
        <v>1156</v>
      </c>
      <c r="E673" s="86"/>
      <c r="F673" s="95"/>
      <c r="G673" s="96"/>
      <c r="H673" s="85" t="s">
        <v>463</v>
      </c>
      <c r="I673" s="94"/>
    </row>
    <row r="674" spans="1:9" s="131" customFormat="1" ht="49.95" customHeight="1" x14ac:dyDescent="0.3">
      <c r="A674" s="66">
        <f t="shared" si="15"/>
        <v>1180</v>
      </c>
      <c r="B674" s="59">
        <v>2022</v>
      </c>
      <c r="C674" s="59" t="s">
        <v>1157</v>
      </c>
      <c r="D674" s="59" t="s">
        <v>1158</v>
      </c>
      <c r="E674" s="145"/>
      <c r="F674" s="61"/>
      <c r="G674" s="62"/>
      <c r="H674" s="85" t="s">
        <v>49</v>
      </c>
      <c r="I674" s="114"/>
    </row>
    <row r="675" spans="1:9" s="131" customFormat="1" ht="49.95" customHeight="1" x14ac:dyDescent="0.3">
      <c r="A675" s="66">
        <f t="shared" si="15"/>
        <v>1181</v>
      </c>
      <c r="B675" s="59">
        <v>2022</v>
      </c>
      <c r="C675" s="59" t="s">
        <v>1159</v>
      </c>
      <c r="D675" s="59" t="s">
        <v>494</v>
      </c>
      <c r="E675" s="26"/>
      <c r="F675" s="27"/>
      <c r="G675" s="28"/>
      <c r="H675" s="85" t="s">
        <v>184</v>
      </c>
      <c r="I675" s="114"/>
    </row>
    <row r="676" spans="1:9" s="131" customFormat="1" ht="49.95" customHeight="1" x14ac:dyDescent="0.3">
      <c r="A676" s="66">
        <f t="shared" si="15"/>
        <v>1182</v>
      </c>
      <c r="B676" s="59">
        <v>2024</v>
      </c>
      <c r="C676" s="59" t="s">
        <v>1160</v>
      </c>
      <c r="D676" s="59" t="s">
        <v>1161</v>
      </c>
      <c r="E676" s="26"/>
      <c r="F676" s="27"/>
      <c r="G676" s="28"/>
      <c r="H676" s="85" t="s">
        <v>184</v>
      </c>
      <c r="I676" s="114"/>
    </row>
    <row r="677" spans="1:9" s="131" customFormat="1" ht="49.95" customHeight="1" x14ac:dyDescent="0.3">
      <c r="A677" s="66">
        <f t="shared" si="15"/>
        <v>1183</v>
      </c>
      <c r="B677" s="59">
        <v>2020</v>
      </c>
      <c r="C677" s="59" t="s">
        <v>1162</v>
      </c>
      <c r="D677" s="59" t="s">
        <v>1163</v>
      </c>
      <c r="E677" s="86"/>
      <c r="F677" s="95"/>
      <c r="G677" s="96"/>
      <c r="H677" s="85" t="s">
        <v>49</v>
      </c>
      <c r="I677" s="94"/>
    </row>
    <row r="678" spans="1:9" s="131" customFormat="1" ht="49.95" customHeight="1" x14ac:dyDescent="0.3">
      <c r="A678" s="66">
        <f t="shared" si="15"/>
        <v>1184</v>
      </c>
      <c r="B678" s="59">
        <v>2020</v>
      </c>
      <c r="C678" s="59" t="s">
        <v>1164</v>
      </c>
      <c r="D678" s="59" t="s">
        <v>1165</v>
      </c>
      <c r="E678" s="86"/>
      <c r="F678" s="95"/>
      <c r="G678" s="96"/>
      <c r="H678" s="85" t="s">
        <v>145</v>
      </c>
      <c r="I678" s="94"/>
    </row>
    <row r="679" spans="1:9" s="131" customFormat="1" ht="49.95" customHeight="1" x14ac:dyDescent="0.3">
      <c r="A679" s="66">
        <f t="shared" si="15"/>
        <v>1185</v>
      </c>
      <c r="B679" s="59">
        <v>2018</v>
      </c>
      <c r="C679" s="59" t="s">
        <v>1166</v>
      </c>
      <c r="D679" s="59" t="s">
        <v>1167</v>
      </c>
      <c r="E679" s="86"/>
      <c r="F679" s="21" t="s">
        <v>19</v>
      </c>
      <c r="G679" s="151" t="s">
        <v>1168</v>
      </c>
      <c r="H679" s="116" t="s">
        <v>1169</v>
      </c>
      <c r="I679" s="94"/>
    </row>
    <row r="680" spans="1:9" s="131" customFormat="1" ht="49.95" customHeight="1" x14ac:dyDescent="0.3">
      <c r="A680" s="66">
        <f t="shared" si="15"/>
        <v>1186</v>
      </c>
      <c r="B680" s="59">
        <v>2025</v>
      </c>
      <c r="C680" s="59" t="s">
        <v>1170</v>
      </c>
      <c r="D680" s="59" t="s">
        <v>1171</v>
      </c>
      <c r="E680" s="86"/>
      <c r="F680" s="95"/>
      <c r="G680" s="96"/>
      <c r="H680" s="85" t="s">
        <v>1726</v>
      </c>
      <c r="I680" s="152" t="s">
        <v>1172</v>
      </c>
    </row>
    <row r="681" spans="1:9" s="131" customFormat="1" ht="49.95" customHeight="1" x14ac:dyDescent="0.3">
      <c r="A681" s="66">
        <f t="shared" si="15"/>
        <v>1187</v>
      </c>
      <c r="B681" s="59">
        <v>2018</v>
      </c>
      <c r="C681" s="59" t="s">
        <v>1173</v>
      </c>
      <c r="D681" s="59" t="s">
        <v>1174</v>
      </c>
      <c r="E681" s="86"/>
      <c r="F681" s="95"/>
      <c r="G681" s="96"/>
      <c r="H681" s="130"/>
      <c r="I681" s="148" t="s">
        <v>127</v>
      </c>
    </row>
    <row r="682" spans="1:9" s="131" customFormat="1" ht="49.95" customHeight="1" x14ac:dyDescent="0.3">
      <c r="A682" s="66">
        <f t="shared" si="15"/>
        <v>1188</v>
      </c>
      <c r="B682" s="59">
        <v>2024</v>
      </c>
      <c r="C682" s="59" t="s">
        <v>1175</v>
      </c>
      <c r="D682" s="59" t="s">
        <v>1176</v>
      </c>
      <c r="E682" s="86"/>
      <c r="F682" s="95"/>
      <c r="G682" s="96"/>
      <c r="H682" s="130"/>
      <c r="I682" s="144" t="s">
        <v>70</v>
      </c>
    </row>
    <row r="683" spans="1:9" s="131" customFormat="1" ht="49.95" customHeight="1" x14ac:dyDescent="0.3">
      <c r="A683" s="66">
        <f t="shared" si="15"/>
        <v>1189</v>
      </c>
      <c r="B683" s="59">
        <v>2017</v>
      </c>
      <c r="C683" s="59" t="s">
        <v>1177</v>
      </c>
      <c r="D683" s="59" t="s">
        <v>1178</v>
      </c>
      <c r="E683" s="86"/>
      <c r="F683" s="95"/>
      <c r="G683" s="96"/>
      <c r="H683" s="130"/>
      <c r="I683" s="148" t="s">
        <v>127</v>
      </c>
    </row>
    <row r="684" spans="1:9" s="131" customFormat="1" ht="49.95" customHeight="1" x14ac:dyDescent="0.3">
      <c r="A684" s="66">
        <f t="shared" si="15"/>
        <v>1190</v>
      </c>
      <c r="B684" s="59">
        <v>2019</v>
      </c>
      <c r="C684" s="59" t="s">
        <v>1179</v>
      </c>
      <c r="D684" s="59" t="s">
        <v>1180</v>
      </c>
      <c r="E684" s="86"/>
      <c r="F684" s="95"/>
      <c r="G684" s="96"/>
      <c r="H684" s="130"/>
      <c r="I684" s="148" t="s">
        <v>120</v>
      </c>
    </row>
    <row r="685" spans="1:9" s="131" customFormat="1" ht="49.95" customHeight="1" x14ac:dyDescent="0.3">
      <c r="A685" s="66">
        <f t="shared" si="15"/>
        <v>1191</v>
      </c>
      <c r="B685" s="59">
        <v>2025</v>
      </c>
      <c r="C685" s="59" t="s">
        <v>1181</v>
      </c>
      <c r="D685" s="59" t="s">
        <v>1182</v>
      </c>
      <c r="E685" s="86"/>
      <c r="F685" s="95"/>
      <c r="G685" s="96"/>
      <c r="H685" s="130"/>
      <c r="I685" s="148" t="s">
        <v>331</v>
      </c>
    </row>
    <row r="686" spans="1:9" s="131" customFormat="1" ht="49.95" customHeight="1" x14ac:dyDescent="0.3">
      <c r="A686" s="66">
        <f t="shared" si="15"/>
        <v>1192</v>
      </c>
      <c r="B686" s="59">
        <v>2021</v>
      </c>
      <c r="C686" s="59" t="s">
        <v>1183</v>
      </c>
      <c r="D686" s="59" t="s">
        <v>1184</v>
      </c>
      <c r="E686" s="86"/>
      <c r="F686" s="95"/>
      <c r="G686" s="96"/>
      <c r="H686" s="130"/>
      <c r="I686" s="148" t="s">
        <v>127</v>
      </c>
    </row>
    <row r="687" spans="1:9" s="131" customFormat="1" ht="49.95" customHeight="1" x14ac:dyDescent="0.3">
      <c r="A687" s="66">
        <f t="shared" si="15"/>
        <v>1193</v>
      </c>
      <c r="B687" s="59">
        <v>2020</v>
      </c>
      <c r="C687" s="59" t="s">
        <v>1185</v>
      </c>
      <c r="D687" s="59" t="s">
        <v>502</v>
      </c>
      <c r="E687" s="26"/>
      <c r="F687" s="27"/>
      <c r="G687" s="28"/>
      <c r="H687" s="85" t="s">
        <v>184</v>
      </c>
      <c r="I687" s="114"/>
    </row>
    <row r="688" spans="1:9" s="131" customFormat="1" ht="49.95" customHeight="1" x14ac:dyDescent="0.3">
      <c r="A688" s="66">
        <f t="shared" si="15"/>
        <v>1194</v>
      </c>
      <c r="B688" s="59">
        <v>2018</v>
      </c>
      <c r="C688" s="59" t="s">
        <v>1186</v>
      </c>
      <c r="D688" s="59" t="s">
        <v>1187</v>
      </c>
      <c r="E688" s="86"/>
      <c r="F688" s="95"/>
      <c r="G688" s="96"/>
      <c r="H688" s="130"/>
      <c r="I688" s="144" t="s">
        <v>70</v>
      </c>
    </row>
    <row r="689" spans="1:16" s="131" customFormat="1" ht="49.95" customHeight="1" x14ac:dyDescent="0.3">
      <c r="A689" s="66">
        <f t="shared" si="15"/>
        <v>1195</v>
      </c>
      <c r="B689" s="59">
        <v>2019</v>
      </c>
      <c r="C689" s="59" t="s">
        <v>1188</v>
      </c>
      <c r="D689" s="59" t="s">
        <v>1189</v>
      </c>
      <c r="E689" s="86"/>
      <c r="F689" s="95"/>
      <c r="G689" s="96"/>
      <c r="H689" s="130"/>
      <c r="I689" s="144" t="s">
        <v>70</v>
      </c>
    </row>
    <row r="690" spans="1:16" s="131" customFormat="1" ht="49.95" customHeight="1" x14ac:dyDescent="0.3">
      <c r="A690" s="66">
        <f t="shared" si="15"/>
        <v>1196</v>
      </c>
      <c r="B690" s="59">
        <v>2019</v>
      </c>
      <c r="C690" s="59" t="s">
        <v>1190</v>
      </c>
      <c r="D690" s="59" t="s">
        <v>1191</v>
      </c>
      <c r="E690" s="86"/>
      <c r="F690" s="95"/>
      <c r="G690" s="96"/>
      <c r="H690" s="130"/>
      <c r="I690" s="148" t="s">
        <v>120</v>
      </c>
    </row>
    <row r="691" spans="1:16" s="131" customFormat="1" ht="49.95" customHeight="1" x14ac:dyDescent="0.3">
      <c r="A691" s="66">
        <f t="shared" si="15"/>
        <v>1197</v>
      </c>
      <c r="B691" s="59" t="s">
        <v>1013</v>
      </c>
      <c r="C691" s="59" t="s">
        <v>1192</v>
      </c>
      <c r="D691" s="59" t="s">
        <v>1193</v>
      </c>
      <c r="E691" s="86" t="s">
        <v>1194</v>
      </c>
      <c r="F691" s="95"/>
      <c r="G691" s="96"/>
      <c r="H691" s="85" t="s">
        <v>463</v>
      </c>
      <c r="I691" s="94"/>
    </row>
    <row r="692" spans="1:16" s="131" customFormat="1" ht="49.95" customHeight="1" x14ac:dyDescent="0.3">
      <c r="A692" s="66">
        <f t="shared" si="15"/>
        <v>1198</v>
      </c>
      <c r="B692" s="59">
        <v>2020</v>
      </c>
      <c r="C692" s="59" t="s">
        <v>1195</v>
      </c>
      <c r="D692" s="59" t="s">
        <v>115</v>
      </c>
      <c r="E692" s="26"/>
      <c r="F692" s="27"/>
      <c r="G692" s="28"/>
      <c r="H692" s="85" t="s">
        <v>184</v>
      </c>
      <c r="I692" s="114"/>
    </row>
    <row r="693" spans="1:16" s="131" customFormat="1" ht="49.95" customHeight="1" x14ac:dyDescent="0.3">
      <c r="A693" s="66">
        <f t="shared" si="15"/>
        <v>1199</v>
      </c>
      <c r="B693" s="59">
        <v>2023</v>
      </c>
      <c r="C693" s="59" t="s">
        <v>1196</v>
      </c>
      <c r="D693" s="59" t="s">
        <v>511</v>
      </c>
      <c r="E693" s="26"/>
      <c r="F693" s="27"/>
      <c r="G693" s="28"/>
      <c r="H693" s="85" t="s">
        <v>184</v>
      </c>
      <c r="I693" s="114"/>
    </row>
    <row r="694" spans="1:16" s="131" customFormat="1" ht="49.95" customHeight="1" x14ac:dyDescent="0.3">
      <c r="A694" s="66">
        <f t="shared" si="15"/>
        <v>1200</v>
      </c>
      <c r="B694" s="59">
        <v>2022</v>
      </c>
      <c r="C694" s="59" t="s">
        <v>1197</v>
      </c>
      <c r="D694" s="59" t="s">
        <v>1198</v>
      </c>
      <c r="E694" s="86"/>
      <c r="F694" s="95"/>
      <c r="G694" s="96"/>
      <c r="H694" s="85" t="s">
        <v>1112</v>
      </c>
      <c r="I694" s="94"/>
    </row>
    <row r="695" spans="1:16" s="131" customFormat="1" ht="49.95" customHeight="1" x14ac:dyDescent="0.3">
      <c r="A695" s="66">
        <f t="shared" si="15"/>
        <v>1201</v>
      </c>
      <c r="B695" s="59">
        <v>2017</v>
      </c>
      <c r="C695" s="59" t="s">
        <v>1199</v>
      </c>
      <c r="D695" s="59" t="s">
        <v>1200</v>
      </c>
      <c r="E695" s="86" t="s">
        <v>1201</v>
      </c>
      <c r="F695" s="95"/>
      <c r="G695" s="96"/>
      <c r="H695" s="85" t="s">
        <v>49</v>
      </c>
      <c r="I695" s="94"/>
    </row>
    <row r="696" spans="1:16" s="131" customFormat="1" ht="49.95" customHeight="1" x14ac:dyDescent="0.3">
      <c r="A696" s="66">
        <f t="shared" si="15"/>
        <v>1202</v>
      </c>
      <c r="B696" s="59" t="s">
        <v>1013</v>
      </c>
      <c r="C696" s="59" t="s">
        <v>1202</v>
      </c>
      <c r="D696" s="59" t="s">
        <v>1203</v>
      </c>
      <c r="E696" s="86"/>
      <c r="F696" s="95"/>
      <c r="G696" s="96"/>
      <c r="H696" s="85" t="s">
        <v>1204</v>
      </c>
      <c r="I696" s="94"/>
    </row>
    <row r="697" spans="1:16" s="131" customFormat="1" ht="49.95" customHeight="1" x14ac:dyDescent="0.3">
      <c r="A697" s="66">
        <f t="shared" si="15"/>
        <v>1203</v>
      </c>
      <c r="B697" s="59">
        <v>2020</v>
      </c>
      <c r="C697" s="59" t="s">
        <v>1205</v>
      </c>
      <c r="D697" s="59" t="s">
        <v>1206</v>
      </c>
      <c r="E697" s="86"/>
      <c r="F697" s="95"/>
      <c r="G697" s="96"/>
      <c r="H697" s="108" t="s">
        <v>1727</v>
      </c>
      <c r="I697" s="94"/>
    </row>
    <row r="698" spans="1:16" s="131" customFormat="1" ht="49.95" customHeight="1" x14ac:dyDescent="0.3">
      <c r="A698" s="66">
        <f t="shared" si="15"/>
        <v>1204</v>
      </c>
      <c r="B698" s="59">
        <v>2019</v>
      </c>
      <c r="C698" s="59" t="s">
        <v>1207</v>
      </c>
      <c r="D698" s="59" t="s">
        <v>1208</v>
      </c>
      <c r="E698" s="86" t="s">
        <v>1209</v>
      </c>
      <c r="F698" s="95"/>
      <c r="G698" s="96"/>
      <c r="H698" s="85" t="s">
        <v>261</v>
      </c>
      <c r="I698" s="94"/>
    </row>
    <row r="699" spans="1:16" s="131" customFormat="1" ht="49.95" customHeight="1" x14ac:dyDescent="0.3">
      <c r="A699" s="66">
        <f t="shared" si="15"/>
        <v>1205</v>
      </c>
      <c r="B699" s="59">
        <v>2019</v>
      </c>
      <c r="C699" s="59" t="s">
        <v>1210</v>
      </c>
      <c r="D699" s="59" t="s">
        <v>1211</v>
      </c>
      <c r="E699" s="86"/>
      <c r="F699" s="95"/>
      <c r="G699" s="96"/>
      <c r="H699" s="108" t="s">
        <v>1727</v>
      </c>
      <c r="I699" s="94"/>
    </row>
    <row r="700" spans="1:16" s="131" customFormat="1" ht="49.95" customHeight="1" x14ac:dyDescent="0.3">
      <c r="A700" s="66">
        <f t="shared" si="15"/>
        <v>1206</v>
      </c>
      <c r="B700" s="59">
        <v>2019</v>
      </c>
      <c r="C700" s="59" t="s">
        <v>1212</v>
      </c>
      <c r="D700" s="59" t="s">
        <v>527</v>
      </c>
      <c r="E700" s="26"/>
      <c r="F700" s="27"/>
      <c r="G700" s="28"/>
      <c r="H700" s="85" t="s">
        <v>184</v>
      </c>
      <c r="I700" s="114"/>
    </row>
    <row r="701" spans="1:16" ht="28.8" x14ac:dyDescent="0.3">
      <c r="A701" s="66">
        <f t="shared" si="15"/>
        <v>1207</v>
      </c>
      <c r="B701" s="59">
        <v>2019</v>
      </c>
      <c r="C701" s="59" t="s">
        <v>1213</v>
      </c>
      <c r="D701" s="59" t="s">
        <v>529</v>
      </c>
      <c r="E701" s="86"/>
      <c r="F701" s="95"/>
      <c r="G701" s="96"/>
      <c r="H701" s="108" t="s">
        <v>1727</v>
      </c>
      <c r="I701" s="94"/>
      <c r="J701" s="186"/>
      <c r="K701" s="186"/>
      <c r="L701" s="186"/>
      <c r="M701" s="186"/>
      <c r="N701" s="186"/>
      <c r="O701" s="186"/>
      <c r="P701" s="186"/>
    </row>
    <row r="702" spans="1:16" ht="28.8" x14ac:dyDescent="0.3">
      <c r="A702" s="66">
        <f t="shared" si="15"/>
        <v>1208</v>
      </c>
      <c r="B702" s="59">
        <v>2019</v>
      </c>
      <c r="C702" s="59" t="s">
        <v>1214</v>
      </c>
      <c r="D702" s="59" t="s">
        <v>1215</v>
      </c>
      <c r="E702" s="26"/>
      <c r="F702" s="27"/>
      <c r="G702" s="28"/>
      <c r="H702" s="85" t="s">
        <v>184</v>
      </c>
      <c r="I702" s="114"/>
      <c r="J702" s="186"/>
      <c r="K702" s="186"/>
      <c r="L702" s="186"/>
      <c r="M702" s="186"/>
      <c r="N702" s="186"/>
      <c r="O702" s="186"/>
      <c r="P702" s="186"/>
    </row>
    <row r="703" spans="1:16" s="4" customFormat="1" ht="100.2" customHeight="1" x14ac:dyDescent="0.45">
      <c r="A703" s="66">
        <f t="shared" si="15"/>
        <v>1209</v>
      </c>
      <c r="B703" s="59">
        <v>2019</v>
      </c>
      <c r="C703" s="59" t="s">
        <v>1216</v>
      </c>
      <c r="D703" s="59" t="s">
        <v>533</v>
      </c>
      <c r="E703" s="26"/>
      <c r="F703" s="27"/>
      <c r="G703" s="28"/>
      <c r="H703" s="85" t="s">
        <v>184</v>
      </c>
      <c r="I703" s="114"/>
      <c r="J703" s="184"/>
      <c r="K703" s="184"/>
      <c r="L703" s="184"/>
      <c r="M703" s="184"/>
      <c r="N703" s="184"/>
      <c r="O703" s="184"/>
      <c r="P703" s="184"/>
    </row>
    <row r="704" spans="1:16" s="9" customFormat="1" ht="100.2" customHeight="1" x14ac:dyDescent="0.45">
      <c r="A704" s="66">
        <f t="shared" si="15"/>
        <v>1210</v>
      </c>
      <c r="B704" s="59" t="s">
        <v>1013</v>
      </c>
      <c r="C704" s="59" t="s">
        <v>1217</v>
      </c>
      <c r="D704" s="59" t="s">
        <v>1218</v>
      </c>
      <c r="E704" s="86" t="s">
        <v>1219</v>
      </c>
      <c r="F704" s="95"/>
      <c r="G704" s="96"/>
      <c r="H704" s="85" t="s">
        <v>261</v>
      </c>
      <c r="I704" s="94"/>
      <c r="J704" s="184"/>
      <c r="K704" s="184"/>
      <c r="L704" s="184"/>
      <c r="M704" s="184"/>
      <c r="N704" s="184"/>
      <c r="O704" s="184"/>
      <c r="P704" s="184"/>
    </row>
    <row r="705" spans="1:16" s="4" customFormat="1" ht="30" customHeight="1" x14ac:dyDescent="0.45">
      <c r="A705" s="66">
        <f t="shared" si="15"/>
        <v>1211</v>
      </c>
      <c r="B705" s="59">
        <v>2018</v>
      </c>
      <c r="C705" s="59" t="s">
        <v>1220</v>
      </c>
      <c r="D705" s="59" t="s">
        <v>1221</v>
      </c>
      <c r="E705" s="86"/>
      <c r="F705" s="95"/>
      <c r="G705" s="96"/>
      <c r="H705" s="130"/>
      <c r="I705" s="148" t="s">
        <v>127</v>
      </c>
      <c r="J705" s="184"/>
      <c r="K705" s="184"/>
      <c r="L705" s="184"/>
      <c r="M705" s="184"/>
      <c r="N705" s="184"/>
      <c r="O705" s="184"/>
      <c r="P705" s="184"/>
    </row>
    <row r="706" spans="1:16" s="9" customFormat="1" ht="100.2" customHeight="1" x14ac:dyDescent="0.45">
      <c r="A706" s="66">
        <f t="shared" si="15"/>
        <v>1212</v>
      </c>
      <c r="B706" s="59">
        <v>2018</v>
      </c>
      <c r="C706" s="59" t="s">
        <v>1222</v>
      </c>
      <c r="D706" s="59" t="s">
        <v>1223</v>
      </c>
      <c r="E706" s="86"/>
      <c r="F706" s="95"/>
      <c r="G706" s="96"/>
      <c r="H706" s="130"/>
      <c r="I706" s="148" t="s">
        <v>1055</v>
      </c>
      <c r="J706" s="184"/>
      <c r="K706" s="184"/>
      <c r="L706" s="184"/>
      <c r="M706" s="184"/>
      <c r="N706" s="184"/>
      <c r="O706" s="184"/>
      <c r="P706" s="184"/>
    </row>
    <row r="707" spans="1:16" s="75" customFormat="1" ht="49.95" customHeight="1" x14ac:dyDescent="0.3">
      <c r="A707" s="66">
        <f t="shared" si="15"/>
        <v>1213</v>
      </c>
      <c r="B707" s="59">
        <v>2018</v>
      </c>
      <c r="C707" s="59" t="s">
        <v>1224</v>
      </c>
      <c r="D707" s="59" t="s">
        <v>1225</v>
      </c>
      <c r="E707" s="86"/>
      <c r="F707" s="95"/>
      <c r="G707" s="96"/>
      <c r="H707" s="130"/>
      <c r="I707" s="148" t="s">
        <v>127</v>
      </c>
    </row>
    <row r="708" spans="1:16" s="75" customFormat="1" ht="49.95" customHeight="1" x14ac:dyDescent="0.3">
      <c r="A708" s="66">
        <f t="shared" si="15"/>
        <v>1214</v>
      </c>
      <c r="B708" s="59">
        <v>2018</v>
      </c>
      <c r="C708" s="59" t="s">
        <v>1226</v>
      </c>
      <c r="D708" s="59" t="s">
        <v>1227</v>
      </c>
      <c r="E708" s="86"/>
      <c r="F708" s="95"/>
      <c r="G708" s="96"/>
      <c r="H708" s="130"/>
      <c r="I708" s="144" t="s">
        <v>70</v>
      </c>
    </row>
    <row r="709" spans="1:16" s="75" customFormat="1" ht="49.95" customHeight="1" x14ac:dyDescent="0.3">
      <c r="A709" s="66">
        <f t="shared" si="15"/>
        <v>1215</v>
      </c>
      <c r="B709" s="59">
        <v>2020</v>
      </c>
      <c r="C709" s="59" t="s">
        <v>1228</v>
      </c>
      <c r="D709" s="59" t="s">
        <v>1229</v>
      </c>
      <c r="E709" s="86"/>
      <c r="F709" s="95"/>
      <c r="G709" s="96"/>
      <c r="H709" s="130"/>
      <c r="I709" s="144" t="s">
        <v>127</v>
      </c>
    </row>
    <row r="710" spans="1:16" s="75" customFormat="1" ht="49.95" customHeight="1" x14ac:dyDescent="0.3">
      <c r="A710" s="66">
        <f t="shared" si="15"/>
        <v>1216</v>
      </c>
      <c r="B710" s="59" t="s">
        <v>1013</v>
      </c>
      <c r="C710" s="59" t="s">
        <v>1230</v>
      </c>
      <c r="D710" s="59" t="s">
        <v>1231</v>
      </c>
      <c r="E710" s="86"/>
      <c r="F710" s="95"/>
      <c r="G710" s="96"/>
      <c r="H710" s="130"/>
      <c r="I710" s="148" t="s">
        <v>1232</v>
      </c>
    </row>
    <row r="711" spans="1:16" s="75" customFormat="1" ht="49.95" customHeight="1" x14ac:dyDescent="0.3">
      <c r="A711" s="66">
        <f t="shared" si="15"/>
        <v>1217</v>
      </c>
      <c r="B711" s="59">
        <v>2017</v>
      </c>
      <c r="C711" s="59" t="s">
        <v>1233</v>
      </c>
      <c r="D711" s="59" t="s">
        <v>1234</v>
      </c>
      <c r="E711" s="86"/>
      <c r="F711" s="95"/>
      <c r="G711" s="96"/>
      <c r="H711" s="130"/>
      <c r="I711" s="148" t="s">
        <v>1232</v>
      </c>
    </row>
    <row r="712" spans="1:16" s="75" customFormat="1" ht="49.95" customHeight="1" x14ac:dyDescent="0.3">
      <c r="A712" s="66">
        <f t="shared" si="15"/>
        <v>1218</v>
      </c>
      <c r="B712" s="59" t="s">
        <v>1013</v>
      </c>
      <c r="C712" s="59" t="s">
        <v>1235</v>
      </c>
      <c r="D712" s="59" t="s">
        <v>1236</v>
      </c>
      <c r="E712" s="86"/>
      <c r="F712" s="95"/>
      <c r="G712" s="96"/>
      <c r="H712" s="130"/>
      <c r="I712" s="144" t="s">
        <v>70</v>
      </c>
    </row>
    <row r="713" spans="1:16" s="75" customFormat="1" ht="49.95" customHeight="1" x14ac:dyDescent="0.45">
      <c r="A713" s="44" t="s">
        <v>0</v>
      </c>
      <c r="B713" s="44" t="s">
        <v>1</v>
      </c>
      <c r="C713" s="44" t="s">
        <v>2</v>
      </c>
      <c r="D713" s="45" t="s">
        <v>3</v>
      </c>
      <c r="E713" s="45" t="s">
        <v>4</v>
      </c>
      <c r="F713" s="46" t="s">
        <v>5</v>
      </c>
      <c r="G713" s="47"/>
      <c r="H713" s="185"/>
      <c r="I713" s="185"/>
      <c r="J713" s="185"/>
      <c r="K713" s="187"/>
      <c r="L713" s="188"/>
      <c r="M713" s="189"/>
      <c r="N713" s="188"/>
      <c r="O713" s="185"/>
      <c r="P713" s="189"/>
    </row>
    <row r="714" spans="1:16" s="75" customFormat="1" ht="49.95" customHeight="1" x14ac:dyDescent="0.3">
      <c r="A714" s="49">
        <v>200</v>
      </c>
      <c r="B714" s="50">
        <v>2017</v>
      </c>
      <c r="C714" s="50" t="s">
        <v>1237</v>
      </c>
      <c r="D714" s="50" t="s">
        <v>1036</v>
      </c>
      <c r="E714" s="111" t="s">
        <v>1238</v>
      </c>
      <c r="F714" s="112" t="s">
        <v>1239</v>
      </c>
      <c r="G714" s="141"/>
      <c r="H714" s="77"/>
      <c r="I714" s="77"/>
      <c r="J714" s="77"/>
      <c r="K714" s="86"/>
      <c r="L714" s="191"/>
      <c r="M714" s="192"/>
      <c r="N714" s="191"/>
      <c r="O714" s="77"/>
      <c r="P714" s="192"/>
    </row>
    <row r="715" spans="1:16" s="75" customFormat="1" ht="49.95" customHeight="1" x14ac:dyDescent="0.3">
      <c r="A715" s="208" t="s">
        <v>10</v>
      </c>
      <c r="B715" s="209"/>
      <c r="C715" s="209"/>
      <c r="D715" s="209"/>
      <c r="E715" s="210"/>
      <c r="F715" s="205" t="s">
        <v>1733</v>
      </c>
      <c r="G715" s="200"/>
      <c r="H715" s="183"/>
    </row>
    <row r="716" spans="1:16" s="75" customFormat="1" ht="49.95" customHeight="1" x14ac:dyDescent="0.3">
      <c r="A716" s="208"/>
      <c r="B716" s="209"/>
      <c r="C716" s="209"/>
      <c r="D716" s="209"/>
      <c r="E716" s="210"/>
      <c r="F716" s="206"/>
      <c r="G716" s="202"/>
      <c r="H716" s="183"/>
    </row>
    <row r="717" spans="1:16" s="75" customFormat="1" ht="49.95" customHeight="1" x14ac:dyDescent="0.3">
      <c r="A717" s="208"/>
      <c r="B717" s="209"/>
      <c r="C717" s="209"/>
      <c r="D717" s="209"/>
      <c r="E717" s="210"/>
      <c r="F717" s="207"/>
      <c r="G717" s="204"/>
      <c r="H717" s="183"/>
    </row>
    <row r="718" spans="1:16" s="75" customFormat="1" ht="49.95" customHeight="1" x14ac:dyDescent="0.3">
      <c r="A718" s="56" t="s">
        <v>12</v>
      </c>
      <c r="B718" s="55" t="s">
        <v>13</v>
      </c>
      <c r="C718" s="55" t="s">
        <v>14</v>
      </c>
      <c r="D718" s="55" t="s">
        <v>15</v>
      </c>
      <c r="E718" s="57" t="s">
        <v>16</v>
      </c>
      <c r="F718" s="56" t="s">
        <v>1735</v>
      </c>
      <c r="G718" s="55" t="s">
        <v>1737</v>
      </c>
    </row>
    <row r="719" spans="1:16" s="75" customFormat="1" ht="49.95" customHeight="1" x14ac:dyDescent="0.3">
      <c r="A719" s="66">
        <f>SUM(A712,1)</f>
        <v>1219</v>
      </c>
      <c r="B719" s="59">
        <v>2009</v>
      </c>
      <c r="C719" s="59" t="s">
        <v>805</v>
      </c>
      <c r="D719" s="59" t="s">
        <v>1240</v>
      </c>
      <c r="E719" s="26"/>
      <c r="F719" s="85" t="s">
        <v>67</v>
      </c>
      <c r="G719" s="133"/>
    </row>
    <row r="720" spans="1:16" s="75" customFormat="1" ht="49.95" customHeight="1" x14ac:dyDescent="0.3">
      <c r="A720" s="66">
        <f>SUM(A719,1)</f>
        <v>1220</v>
      </c>
      <c r="B720" s="59">
        <v>2008</v>
      </c>
      <c r="C720" s="59" t="s">
        <v>1241</v>
      </c>
      <c r="D720" s="59" t="s">
        <v>1242</v>
      </c>
      <c r="E720" s="26"/>
      <c r="F720" s="85" t="s">
        <v>67</v>
      </c>
      <c r="G720" s="133"/>
    </row>
    <row r="721" spans="1:7" s="75" customFormat="1" ht="49.95" customHeight="1" x14ac:dyDescent="0.3">
      <c r="A721" s="66">
        <f>SUM(A720,1)</f>
        <v>1221</v>
      </c>
      <c r="B721" s="59">
        <v>2014</v>
      </c>
      <c r="C721" s="59" t="s">
        <v>1243</v>
      </c>
      <c r="D721" s="59" t="s">
        <v>1006</v>
      </c>
      <c r="E721" s="26"/>
      <c r="F721" s="85" t="s">
        <v>67</v>
      </c>
      <c r="G721" s="133"/>
    </row>
    <row r="722" spans="1:7" s="75" customFormat="1" ht="49.95" customHeight="1" x14ac:dyDescent="0.3">
      <c r="A722" s="66">
        <f t="shared" ref="A722:A784" si="16">SUM(A721,1)</f>
        <v>1222</v>
      </c>
      <c r="B722" s="59">
        <v>2010</v>
      </c>
      <c r="C722" s="59" t="s">
        <v>1244</v>
      </c>
      <c r="D722" s="59" t="s">
        <v>1245</v>
      </c>
      <c r="E722" s="26"/>
      <c r="F722" s="85" t="s">
        <v>67</v>
      </c>
      <c r="G722" s="133"/>
    </row>
    <row r="723" spans="1:7" s="75" customFormat="1" ht="49.95" customHeight="1" x14ac:dyDescent="0.3">
      <c r="A723" s="66">
        <f t="shared" si="16"/>
        <v>1223</v>
      </c>
      <c r="B723" s="59">
        <v>2010</v>
      </c>
      <c r="C723" s="59" t="s">
        <v>1246</v>
      </c>
      <c r="D723" s="59" t="s">
        <v>1008</v>
      </c>
      <c r="E723" s="26"/>
      <c r="F723" s="85" t="s">
        <v>67</v>
      </c>
      <c r="G723" s="133"/>
    </row>
    <row r="724" spans="1:7" s="75" customFormat="1" ht="49.95" customHeight="1" x14ac:dyDescent="0.3">
      <c r="A724" s="66">
        <f t="shared" si="16"/>
        <v>1224</v>
      </c>
      <c r="B724" s="59">
        <v>2011</v>
      </c>
      <c r="C724" s="59" t="s">
        <v>295</v>
      </c>
      <c r="D724" s="59" t="s">
        <v>1247</v>
      </c>
      <c r="E724" s="26"/>
      <c r="F724" s="85" t="s">
        <v>67</v>
      </c>
      <c r="G724" s="133"/>
    </row>
    <row r="725" spans="1:7" s="75" customFormat="1" ht="49.95" customHeight="1" x14ac:dyDescent="0.3">
      <c r="A725" s="66">
        <f t="shared" si="16"/>
        <v>1225</v>
      </c>
      <c r="B725" s="59">
        <v>2013</v>
      </c>
      <c r="C725" s="59" t="s">
        <v>1248</v>
      </c>
      <c r="D725" s="59" t="s">
        <v>1249</v>
      </c>
      <c r="E725" s="26"/>
      <c r="F725" s="85" t="s">
        <v>67</v>
      </c>
      <c r="G725" s="133"/>
    </row>
    <row r="726" spans="1:7" s="75" customFormat="1" ht="49.95" customHeight="1" x14ac:dyDescent="0.3">
      <c r="A726" s="66">
        <f t="shared" si="16"/>
        <v>1226</v>
      </c>
      <c r="B726" s="59">
        <v>2009</v>
      </c>
      <c r="C726" s="59" t="s">
        <v>1250</v>
      </c>
      <c r="D726" s="59" t="s">
        <v>604</v>
      </c>
      <c r="E726" s="26"/>
      <c r="F726" s="85" t="s">
        <v>67</v>
      </c>
      <c r="G726" s="133"/>
    </row>
    <row r="727" spans="1:7" s="75" customFormat="1" ht="49.95" customHeight="1" x14ac:dyDescent="0.3">
      <c r="A727" s="66">
        <f t="shared" si="16"/>
        <v>1227</v>
      </c>
      <c r="B727" s="59">
        <v>2014</v>
      </c>
      <c r="C727" s="59" t="s">
        <v>1251</v>
      </c>
      <c r="D727" s="59" t="s">
        <v>1252</v>
      </c>
      <c r="E727" s="26"/>
      <c r="F727" s="85" t="s">
        <v>67</v>
      </c>
      <c r="G727" s="133"/>
    </row>
    <row r="728" spans="1:7" s="75" customFormat="1" ht="49.95" customHeight="1" x14ac:dyDescent="0.3">
      <c r="A728" s="66">
        <f t="shared" si="16"/>
        <v>1228</v>
      </c>
      <c r="B728" s="59">
        <v>2005</v>
      </c>
      <c r="C728" s="59" t="s">
        <v>1253</v>
      </c>
      <c r="D728" s="59" t="s">
        <v>1254</v>
      </c>
      <c r="E728" s="26"/>
      <c r="F728" s="85" t="s">
        <v>67</v>
      </c>
      <c r="G728" s="133"/>
    </row>
    <row r="729" spans="1:7" s="75" customFormat="1" ht="49.95" customHeight="1" x14ac:dyDescent="0.3">
      <c r="A729" s="66">
        <f t="shared" si="16"/>
        <v>1229</v>
      </c>
      <c r="B729" s="59">
        <v>2010</v>
      </c>
      <c r="C729" s="59" t="s">
        <v>1255</v>
      </c>
      <c r="D729" s="59" t="s">
        <v>711</v>
      </c>
      <c r="E729" s="26"/>
      <c r="F729" s="85" t="s">
        <v>67</v>
      </c>
      <c r="G729" s="133"/>
    </row>
    <row r="730" spans="1:7" s="75" customFormat="1" ht="49.95" customHeight="1" x14ac:dyDescent="0.3">
      <c r="A730" s="66">
        <f t="shared" si="16"/>
        <v>1230</v>
      </c>
      <c r="B730" s="59">
        <v>2012</v>
      </c>
      <c r="C730" s="59" t="s">
        <v>1256</v>
      </c>
      <c r="D730" s="59" t="s">
        <v>1257</v>
      </c>
      <c r="E730" s="26"/>
      <c r="F730" s="85" t="s">
        <v>67</v>
      </c>
      <c r="G730" s="133"/>
    </row>
    <row r="731" spans="1:7" s="75" customFormat="1" ht="49.95" customHeight="1" x14ac:dyDescent="0.3">
      <c r="A731" s="66">
        <f t="shared" si="16"/>
        <v>1231</v>
      </c>
      <c r="B731" s="59">
        <v>2019</v>
      </c>
      <c r="C731" s="59" t="s">
        <v>1258</v>
      </c>
      <c r="D731" s="59" t="s">
        <v>1259</v>
      </c>
      <c r="E731" s="26"/>
      <c r="F731" s="85" t="s">
        <v>145</v>
      </c>
      <c r="G731" s="133"/>
    </row>
    <row r="732" spans="1:7" s="75" customFormat="1" ht="49.95" customHeight="1" x14ac:dyDescent="0.3">
      <c r="A732" s="66">
        <f t="shared" si="16"/>
        <v>1232</v>
      </c>
      <c r="B732" s="59">
        <v>2022</v>
      </c>
      <c r="C732" s="59" t="s">
        <v>1260</v>
      </c>
      <c r="D732" s="59" t="s">
        <v>1261</v>
      </c>
      <c r="E732" s="26"/>
      <c r="F732" s="85" t="s">
        <v>145</v>
      </c>
      <c r="G732" s="133"/>
    </row>
    <row r="733" spans="1:7" s="75" customFormat="1" ht="49.95" customHeight="1" x14ac:dyDescent="0.3">
      <c r="A733" s="66">
        <f t="shared" si="16"/>
        <v>1233</v>
      </c>
      <c r="B733" s="59">
        <v>2023</v>
      </c>
      <c r="C733" s="59" t="s">
        <v>1262</v>
      </c>
      <c r="D733" s="59" t="s">
        <v>1263</v>
      </c>
      <c r="E733" s="26"/>
      <c r="F733" s="85" t="s">
        <v>145</v>
      </c>
      <c r="G733" s="133"/>
    </row>
    <row r="734" spans="1:7" s="75" customFormat="1" ht="49.95" customHeight="1" x14ac:dyDescent="0.3">
      <c r="A734" s="66">
        <f t="shared" si="16"/>
        <v>1234</v>
      </c>
      <c r="B734" s="59">
        <v>2019</v>
      </c>
      <c r="C734" s="59" t="s">
        <v>1264</v>
      </c>
      <c r="D734" s="59" t="s">
        <v>333</v>
      </c>
      <c r="E734" s="26"/>
      <c r="F734" s="85" t="s">
        <v>184</v>
      </c>
      <c r="G734" s="133"/>
    </row>
    <row r="735" spans="1:7" s="75" customFormat="1" ht="49.95" customHeight="1" x14ac:dyDescent="0.3">
      <c r="A735" s="66">
        <f t="shared" si="16"/>
        <v>1235</v>
      </c>
      <c r="B735" s="59">
        <v>2017</v>
      </c>
      <c r="C735" s="59" t="s">
        <v>1265</v>
      </c>
      <c r="D735" s="59" t="s">
        <v>1266</v>
      </c>
      <c r="E735" s="26"/>
      <c r="F735" s="85" t="s">
        <v>184</v>
      </c>
      <c r="G735" s="133"/>
    </row>
    <row r="736" spans="1:7" s="75" customFormat="1" ht="49.95" customHeight="1" x14ac:dyDescent="0.3">
      <c r="A736" s="66">
        <f t="shared" si="16"/>
        <v>1236</v>
      </c>
      <c r="B736" s="59">
        <v>2021</v>
      </c>
      <c r="C736" s="59" t="s">
        <v>1267</v>
      </c>
      <c r="D736" s="59" t="s">
        <v>1268</v>
      </c>
      <c r="E736" s="145"/>
      <c r="F736" s="101"/>
      <c r="G736" s="144" t="s">
        <v>70</v>
      </c>
    </row>
    <row r="737" spans="1:7" s="75" customFormat="1" ht="49.95" customHeight="1" x14ac:dyDescent="0.3">
      <c r="A737" s="66">
        <f t="shared" si="16"/>
        <v>1237</v>
      </c>
      <c r="B737" s="59">
        <v>2025</v>
      </c>
      <c r="C737" s="59" t="s">
        <v>1269</v>
      </c>
      <c r="D737" s="59" t="s">
        <v>1270</v>
      </c>
      <c r="E737" s="145"/>
      <c r="F737" s="101"/>
      <c r="G737" s="144" t="s">
        <v>637</v>
      </c>
    </row>
    <row r="738" spans="1:7" s="75" customFormat="1" ht="49.95" customHeight="1" x14ac:dyDescent="0.3">
      <c r="A738" s="66">
        <f t="shared" si="16"/>
        <v>1238</v>
      </c>
      <c r="B738" s="59">
        <v>2017</v>
      </c>
      <c r="C738" s="59" t="s">
        <v>1271</v>
      </c>
      <c r="D738" s="59" t="s">
        <v>1272</v>
      </c>
      <c r="E738" s="26"/>
      <c r="F738" s="85" t="s">
        <v>184</v>
      </c>
      <c r="G738" s="133"/>
    </row>
    <row r="739" spans="1:7" s="75" customFormat="1" ht="49.95" customHeight="1" x14ac:dyDescent="0.3">
      <c r="A739" s="66">
        <f t="shared" si="16"/>
        <v>1239</v>
      </c>
      <c r="B739" s="59">
        <v>2024</v>
      </c>
      <c r="C739" s="59" t="s">
        <v>1273</v>
      </c>
      <c r="D739" s="59" t="s">
        <v>1274</v>
      </c>
      <c r="E739" s="145" t="s">
        <v>1275</v>
      </c>
      <c r="F739" s="85" t="s">
        <v>261</v>
      </c>
      <c r="G739" s="133"/>
    </row>
    <row r="740" spans="1:7" s="75" customFormat="1" ht="49.95" customHeight="1" x14ac:dyDescent="0.3">
      <c r="A740" s="66">
        <f t="shared" si="16"/>
        <v>1240</v>
      </c>
      <c r="B740" s="59">
        <v>2017</v>
      </c>
      <c r="C740" s="59" t="s">
        <v>1276</v>
      </c>
      <c r="D740" s="59" t="s">
        <v>1277</v>
      </c>
      <c r="E740" s="26"/>
      <c r="F740" s="85" t="s">
        <v>261</v>
      </c>
      <c r="G740" s="133"/>
    </row>
    <row r="741" spans="1:7" s="75" customFormat="1" ht="49.95" customHeight="1" x14ac:dyDescent="0.3">
      <c r="A741" s="66">
        <f t="shared" si="16"/>
        <v>1241</v>
      </c>
      <c r="B741" s="59">
        <v>2017</v>
      </c>
      <c r="C741" s="59" t="s">
        <v>1278</v>
      </c>
      <c r="D741" s="59" t="s">
        <v>1279</v>
      </c>
      <c r="E741" s="26"/>
      <c r="F741" s="85" t="s">
        <v>184</v>
      </c>
      <c r="G741" s="133"/>
    </row>
    <row r="742" spans="1:7" s="75" customFormat="1" ht="49.95" customHeight="1" x14ac:dyDescent="0.3">
      <c r="A742" s="66">
        <f t="shared" si="16"/>
        <v>1242</v>
      </c>
      <c r="B742" s="59">
        <v>2020</v>
      </c>
      <c r="C742" s="59" t="s">
        <v>1280</v>
      </c>
      <c r="D742" s="59" t="s">
        <v>1281</v>
      </c>
      <c r="E742" s="26"/>
      <c r="F742" s="85" t="s">
        <v>184</v>
      </c>
      <c r="G742" s="133"/>
    </row>
    <row r="743" spans="1:7" s="75" customFormat="1" ht="49.95" customHeight="1" x14ac:dyDescent="0.3">
      <c r="A743" s="66">
        <f t="shared" si="16"/>
        <v>1243</v>
      </c>
      <c r="B743" s="59">
        <v>2023</v>
      </c>
      <c r="C743" s="59" t="s">
        <v>1269</v>
      </c>
      <c r="D743" s="59" t="s">
        <v>1282</v>
      </c>
      <c r="E743" s="92"/>
      <c r="F743" s="85" t="s">
        <v>463</v>
      </c>
      <c r="G743" s="133"/>
    </row>
    <row r="744" spans="1:7" s="75" customFormat="1" ht="49.95" customHeight="1" x14ac:dyDescent="0.3">
      <c r="A744" s="66">
        <f t="shared" si="16"/>
        <v>1244</v>
      </c>
      <c r="B744" s="59">
        <v>2023</v>
      </c>
      <c r="C744" s="59" t="s">
        <v>1283</v>
      </c>
      <c r="D744" s="59" t="s">
        <v>1284</v>
      </c>
      <c r="E744" s="145" t="s">
        <v>1285</v>
      </c>
      <c r="F744" s="85" t="s">
        <v>463</v>
      </c>
      <c r="G744" s="133"/>
    </row>
    <row r="745" spans="1:7" s="75" customFormat="1" ht="49.95" customHeight="1" x14ac:dyDescent="0.3">
      <c r="A745" s="66">
        <f t="shared" si="16"/>
        <v>1245</v>
      </c>
      <c r="B745" s="59">
        <v>2024</v>
      </c>
      <c r="C745" s="59" t="s">
        <v>1286</v>
      </c>
      <c r="D745" s="59" t="s">
        <v>1287</v>
      </c>
      <c r="E745" s="145"/>
      <c r="F745" s="85" t="s">
        <v>463</v>
      </c>
      <c r="G745" s="133"/>
    </row>
    <row r="746" spans="1:7" s="75" customFormat="1" ht="49.95" customHeight="1" x14ac:dyDescent="0.3">
      <c r="A746" s="66">
        <f t="shared" si="16"/>
        <v>1246</v>
      </c>
      <c r="B746" s="59">
        <v>2018</v>
      </c>
      <c r="C746" s="59" t="s">
        <v>1288</v>
      </c>
      <c r="D746" s="59" t="s">
        <v>1289</v>
      </c>
      <c r="E746" s="145"/>
      <c r="F746" s="108" t="s">
        <v>1728</v>
      </c>
      <c r="G746" s="133"/>
    </row>
    <row r="747" spans="1:7" s="75" customFormat="1" ht="49.95" customHeight="1" x14ac:dyDescent="0.3">
      <c r="A747" s="66">
        <f t="shared" si="16"/>
        <v>1247</v>
      </c>
      <c r="B747" s="59">
        <v>2023</v>
      </c>
      <c r="C747" s="59" t="s">
        <v>1290</v>
      </c>
      <c r="D747" s="59" t="s">
        <v>1291</v>
      </c>
      <c r="E747" s="86" t="s">
        <v>1292</v>
      </c>
      <c r="F747" s="85" t="s">
        <v>261</v>
      </c>
      <c r="G747" s="133"/>
    </row>
    <row r="748" spans="1:7" s="75" customFormat="1" ht="49.95" customHeight="1" x14ac:dyDescent="0.3">
      <c r="A748" s="66">
        <f t="shared" si="16"/>
        <v>1248</v>
      </c>
      <c r="B748" s="59">
        <v>2022</v>
      </c>
      <c r="C748" s="59" t="s">
        <v>1293</v>
      </c>
      <c r="D748" s="59" t="s">
        <v>1294</v>
      </c>
      <c r="E748" s="149" t="s">
        <v>1295</v>
      </c>
      <c r="F748" s="85" t="s">
        <v>49</v>
      </c>
      <c r="G748" s="133"/>
    </row>
    <row r="749" spans="1:7" s="75" customFormat="1" ht="49.95" customHeight="1" x14ac:dyDescent="0.3">
      <c r="A749" s="66">
        <f t="shared" si="16"/>
        <v>1249</v>
      </c>
      <c r="B749" s="59">
        <v>2018</v>
      </c>
      <c r="C749" s="59" t="s">
        <v>1296</v>
      </c>
      <c r="D749" s="59" t="s">
        <v>1297</v>
      </c>
      <c r="E749" s="145"/>
      <c r="F749" s="85" t="s">
        <v>261</v>
      </c>
      <c r="G749" s="133"/>
    </row>
    <row r="750" spans="1:7" s="75" customFormat="1" ht="49.95" customHeight="1" x14ac:dyDescent="0.3">
      <c r="A750" s="66">
        <f t="shared" si="16"/>
        <v>1250</v>
      </c>
      <c r="B750" s="59">
        <v>2020</v>
      </c>
      <c r="C750" s="59" t="s">
        <v>1298</v>
      </c>
      <c r="D750" s="59" t="s">
        <v>1299</v>
      </c>
      <c r="E750" s="145" t="s">
        <v>1300</v>
      </c>
      <c r="F750" s="85" t="s">
        <v>463</v>
      </c>
      <c r="G750" s="133"/>
    </row>
    <row r="751" spans="1:7" s="75" customFormat="1" ht="49.95" customHeight="1" x14ac:dyDescent="0.3">
      <c r="A751" s="66">
        <f t="shared" si="16"/>
        <v>1251</v>
      </c>
      <c r="B751" s="59">
        <v>2020</v>
      </c>
      <c r="C751" s="59" t="s">
        <v>1283</v>
      </c>
      <c r="D751" s="59" t="s">
        <v>1301</v>
      </c>
      <c r="E751" s="26"/>
      <c r="F751" s="85" t="s">
        <v>261</v>
      </c>
      <c r="G751" s="133"/>
    </row>
    <row r="752" spans="1:7" s="75" customFormat="1" ht="49.95" customHeight="1" x14ac:dyDescent="0.3">
      <c r="A752" s="66">
        <f t="shared" si="16"/>
        <v>1252</v>
      </c>
      <c r="B752" s="59">
        <v>2022</v>
      </c>
      <c r="C752" s="59" t="s">
        <v>1302</v>
      </c>
      <c r="D752" s="59" t="s">
        <v>1303</v>
      </c>
      <c r="E752" s="26"/>
      <c r="F752" s="85" t="s">
        <v>184</v>
      </c>
      <c r="G752" s="133"/>
    </row>
    <row r="753" spans="1:7" s="75" customFormat="1" ht="49.95" customHeight="1" x14ac:dyDescent="0.3">
      <c r="A753" s="66">
        <f t="shared" si="16"/>
        <v>1253</v>
      </c>
      <c r="B753" s="59">
        <v>2018</v>
      </c>
      <c r="C753" s="59" t="s">
        <v>779</v>
      </c>
      <c r="D753" s="59" t="s">
        <v>1304</v>
      </c>
      <c r="E753" s="26"/>
      <c r="F753" s="85" t="s">
        <v>184</v>
      </c>
      <c r="G753" s="133"/>
    </row>
    <row r="754" spans="1:7" s="75" customFormat="1" ht="49.95" customHeight="1" x14ac:dyDescent="0.3">
      <c r="A754" s="66">
        <f t="shared" si="16"/>
        <v>1254</v>
      </c>
      <c r="B754" s="59">
        <v>2018</v>
      </c>
      <c r="C754" s="59" t="s">
        <v>1305</v>
      </c>
      <c r="D754" s="59" t="s">
        <v>1306</v>
      </c>
      <c r="E754" s="26"/>
      <c r="F754" s="85" t="s">
        <v>184</v>
      </c>
      <c r="G754" s="133"/>
    </row>
    <row r="755" spans="1:7" s="75" customFormat="1" ht="49.95" customHeight="1" x14ac:dyDescent="0.3">
      <c r="A755" s="66">
        <f t="shared" si="16"/>
        <v>1255</v>
      </c>
      <c r="B755" s="59">
        <v>2025</v>
      </c>
      <c r="C755" s="59" t="s">
        <v>1307</v>
      </c>
      <c r="D755" s="59" t="s">
        <v>1308</v>
      </c>
      <c r="E755" s="145"/>
      <c r="F755" s="108" t="s">
        <v>1725</v>
      </c>
      <c r="G755" s="133"/>
    </row>
    <row r="756" spans="1:7" s="75" customFormat="1" ht="49.95" customHeight="1" x14ac:dyDescent="0.3">
      <c r="A756" s="66">
        <f t="shared" si="16"/>
        <v>1256</v>
      </c>
      <c r="B756" s="59">
        <v>2018</v>
      </c>
      <c r="C756" s="59" t="s">
        <v>1309</v>
      </c>
      <c r="D756" s="59" t="s">
        <v>1310</v>
      </c>
      <c r="E756" s="145"/>
      <c r="F756" s="101"/>
      <c r="G756" s="144" t="s">
        <v>1311</v>
      </c>
    </row>
    <row r="757" spans="1:7" s="75" customFormat="1" ht="49.95" customHeight="1" x14ac:dyDescent="0.3">
      <c r="A757" s="66">
        <f t="shared" si="16"/>
        <v>1257</v>
      </c>
      <c r="B757" s="59">
        <v>2025</v>
      </c>
      <c r="C757" s="59" t="s">
        <v>1312</v>
      </c>
      <c r="D757" s="59" t="s">
        <v>1313</v>
      </c>
      <c r="E757" s="26"/>
      <c r="F757" s="85" t="s">
        <v>184</v>
      </c>
      <c r="G757" s="133"/>
    </row>
    <row r="758" spans="1:7" s="75" customFormat="1" ht="49.95" customHeight="1" x14ac:dyDescent="0.3">
      <c r="A758" s="66">
        <f t="shared" si="16"/>
        <v>1258</v>
      </c>
      <c r="B758" s="59">
        <v>2021</v>
      </c>
      <c r="C758" s="59" t="s">
        <v>1314</v>
      </c>
      <c r="D758" s="59" t="s">
        <v>1315</v>
      </c>
      <c r="E758" s="145"/>
      <c r="F758" s="101"/>
      <c r="G758" s="144" t="s">
        <v>70</v>
      </c>
    </row>
    <row r="759" spans="1:7" s="75" customFormat="1" ht="49.95" customHeight="1" x14ac:dyDescent="0.3">
      <c r="A759" s="66">
        <f t="shared" si="16"/>
        <v>1259</v>
      </c>
      <c r="B759" s="59">
        <v>2019</v>
      </c>
      <c r="C759" s="59" t="s">
        <v>1316</v>
      </c>
      <c r="D759" s="59" t="s">
        <v>1317</v>
      </c>
      <c r="E759" s="86"/>
      <c r="F759" s="101"/>
      <c r="G759" s="144" t="s">
        <v>127</v>
      </c>
    </row>
    <row r="760" spans="1:7" s="75" customFormat="1" ht="49.95" customHeight="1" x14ac:dyDescent="0.3">
      <c r="A760" s="66">
        <f t="shared" si="16"/>
        <v>1260</v>
      </c>
      <c r="B760" s="59">
        <v>2024</v>
      </c>
      <c r="C760" s="59" t="s">
        <v>1318</v>
      </c>
      <c r="D760" s="59" t="s">
        <v>1319</v>
      </c>
      <c r="E760" s="86"/>
      <c r="F760" s="130"/>
      <c r="G760" s="144" t="s">
        <v>70</v>
      </c>
    </row>
    <row r="761" spans="1:7" s="75" customFormat="1" ht="49.95" customHeight="1" x14ac:dyDescent="0.3">
      <c r="A761" s="66">
        <f t="shared" si="16"/>
        <v>1261</v>
      </c>
      <c r="B761" s="59">
        <v>2021</v>
      </c>
      <c r="C761" s="59" t="s">
        <v>1320</v>
      </c>
      <c r="D761" s="59" t="s">
        <v>1321</v>
      </c>
      <c r="E761" s="145"/>
      <c r="F761" s="101"/>
      <c r="G761" s="144" t="s">
        <v>127</v>
      </c>
    </row>
    <row r="762" spans="1:7" s="75" customFormat="1" ht="49.95" customHeight="1" x14ac:dyDescent="0.3">
      <c r="A762" s="66">
        <f t="shared" si="16"/>
        <v>1262</v>
      </c>
      <c r="B762" s="59">
        <v>2023</v>
      </c>
      <c r="C762" s="59" t="s">
        <v>1322</v>
      </c>
      <c r="D762" s="59" t="s">
        <v>1323</v>
      </c>
      <c r="E762" s="26"/>
      <c r="F762" s="85" t="s">
        <v>184</v>
      </c>
      <c r="G762" s="133"/>
    </row>
    <row r="763" spans="1:7" s="75" customFormat="1" ht="49.95" customHeight="1" x14ac:dyDescent="0.3">
      <c r="A763" s="66">
        <f t="shared" si="16"/>
        <v>1263</v>
      </c>
      <c r="B763" s="59">
        <v>2022</v>
      </c>
      <c r="C763" s="59" t="s">
        <v>1324</v>
      </c>
      <c r="D763" s="59" t="s">
        <v>1325</v>
      </c>
      <c r="E763" s="145"/>
      <c r="F763" s="97"/>
      <c r="G763" s="144" t="s">
        <v>331</v>
      </c>
    </row>
    <row r="764" spans="1:7" s="75" customFormat="1" ht="49.95" customHeight="1" x14ac:dyDescent="0.3">
      <c r="A764" s="66">
        <f t="shared" si="16"/>
        <v>1264</v>
      </c>
      <c r="B764" s="59">
        <v>2020</v>
      </c>
      <c r="C764" s="59" t="s">
        <v>1326</v>
      </c>
      <c r="D764" s="59" t="s">
        <v>1327</v>
      </c>
      <c r="E764" s="26"/>
      <c r="F764" s="85" t="s">
        <v>184</v>
      </c>
      <c r="G764" s="133"/>
    </row>
    <row r="765" spans="1:7" s="75" customFormat="1" ht="49.95" customHeight="1" x14ac:dyDescent="0.3">
      <c r="A765" s="66">
        <f t="shared" si="16"/>
        <v>1265</v>
      </c>
      <c r="B765" s="59">
        <v>2023</v>
      </c>
      <c r="C765" s="59" t="s">
        <v>1328</v>
      </c>
      <c r="D765" s="59" t="s">
        <v>1329</v>
      </c>
      <c r="E765" s="26"/>
      <c r="F765" s="85" t="s">
        <v>184</v>
      </c>
      <c r="G765" s="133"/>
    </row>
    <row r="766" spans="1:7" s="75" customFormat="1" ht="49.95" customHeight="1" x14ac:dyDescent="0.3">
      <c r="A766" s="66">
        <f t="shared" si="16"/>
        <v>1266</v>
      </c>
      <c r="B766" s="59">
        <v>2017</v>
      </c>
      <c r="C766" s="59" t="s">
        <v>1330</v>
      </c>
      <c r="D766" s="59" t="s">
        <v>1331</v>
      </c>
      <c r="E766" s="26"/>
      <c r="F766" s="85" t="s">
        <v>184</v>
      </c>
      <c r="G766" s="133"/>
    </row>
    <row r="767" spans="1:7" s="75" customFormat="1" ht="49.95" customHeight="1" x14ac:dyDescent="0.3">
      <c r="A767" s="66">
        <f t="shared" si="16"/>
        <v>1267</v>
      </c>
      <c r="B767" s="59">
        <v>2025</v>
      </c>
      <c r="C767" s="59" t="s">
        <v>1332</v>
      </c>
      <c r="D767" s="59" t="s">
        <v>1333</v>
      </c>
      <c r="E767" s="26"/>
      <c r="F767" s="85" t="s">
        <v>184</v>
      </c>
      <c r="G767" s="94"/>
    </row>
    <row r="768" spans="1:7" s="75" customFormat="1" ht="49.95" customHeight="1" x14ac:dyDescent="0.3">
      <c r="A768" s="66">
        <f t="shared" si="16"/>
        <v>1268</v>
      </c>
      <c r="B768" s="59" t="s">
        <v>216</v>
      </c>
      <c r="C768" s="59" t="s">
        <v>1334</v>
      </c>
      <c r="D768" s="59" t="s">
        <v>1335</v>
      </c>
      <c r="E768" s="26"/>
      <c r="F768" s="85" t="s">
        <v>145</v>
      </c>
      <c r="G768" s="133"/>
    </row>
    <row r="769" spans="1:16" s="75" customFormat="1" ht="49.95" customHeight="1" x14ac:dyDescent="0.3">
      <c r="A769" s="66">
        <f t="shared" si="16"/>
        <v>1269</v>
      </c>
      <c r="B769" s="59">
        <v>2022</v>
      </c>
      <c r="C769" s="59" t="s">
        <v>1336</v>
      </c>
      <c r="D769" s="59" t="s">
        <v>513</v>
      </c>
      <c r="E769" s="26"/>
      <c r="F769" s="85" t="s">
        <v>184</v>
      </c>
      <c r="G769" s="133"/>
    </row>
    <row r="770" spans="1:16" s="75" customFormat="1" ht="49.95" customHeight="1" x14ac:dyDescent="0.3">
      <c r="A770" s="66">
        <f t="shared" si="16"/>
        <v>1270</v>
      </c>
      <c r="B770" s="59">
        <v>2020</v>
      </c>
      <c r="C770" s="59" t="s">
        <v>1337</v>
      </c>
      <c r="D770" s="59" t="s">
        <v>1338</v>
      </c>
      <c r="E770" s="145"/>
      <c r="F770" s="101"/>
      <c r="G770" s="144" t="s">
        <v>70</v>
      </c>
    </row>
    <row r="771" spans="1:16" s="75" customFormat="1" ht="49.95" customHeight="1" x14ac:dyDescent="0.3">
      <c r="A771" s="66">
        <f t="shared" si="16"/>
        <v>1271</v>
      </c>
      <c r="B771" s="59">
        <v>2021</v>
      </c>
      <c r="C771" s="59" t="s">
        <v>1339</v>
      </c>
      <c r="D771" s="59" t="s">
        <v>1340</v>
      </c>
      <c r="E771" s="145"/>
      <c r="F771" s="101"/>
      <c r="G771" s="144" t="s">
        <v>127</v>
      </c>
    </row>
    <row r="772" spans="1:16" s="75" customFormat="1" ht="49.95" customHeight="1" x14ac:dyDescent="0.3">
      <c r="A772" s="66">
        <f t="shared" si="16"/>
        <v>1272</v>
      </c>
      <c r="B772" s="59">
        <v>2019</v>
      </c>
      <c r="C772" s="59" t="s">
        <v>1341</v>
      </c>
      <c r="D772" s="59" t="s">
        <v>1342</v>
      </c>
      <c r="E772" s="86"/>
      <c r="F772" s="130"/>
      <c r="G772" s="144" t="s">
        <v>127</v>
      </c>
    </row>
    <row r="773" spans="1:16" ht="28.8" x14ac:dyDescent="0.3">
      <c r="A773" s="66">
        <f t="shared" si="16"/>
        <v>1273</v>
      </c>
      <c r="B773" s="59">
        <v>2019</v>
      </c>
      <c r="C773" s="59" t="s">
        <v>1343</v>
      </c>
      <c r="D773" s="59" t="s">
        <v>1344</v>
      </c>
      <c r="E773" s="145"/>
      <c r="F773" s="101"/>
      <c r="G773" s="144" t="s">
        <v>127</v>
      </c>
      <c r="J773" s="186"/>
      <c r="K773" s="186"/>
      <c r="L773" s="186"/>
      <c r="M773" s="186"/>
      <c r="N773" s="186"/>
      <c r="O773" s="186"/>
      <c r="P773" s="186"/>
    </row>
    <row r="774" spans="1:16" ht="28.8" x14ac:dyDescent="0.3">
      <c r="A774" s="66">
        <f t="shared" si="16"/>
        <v>1274</v>
      </c>
      <c r="B774" s="59">
        <v>2019</v>
      </c>
      <c r="C774" s="59" t="s">
        <v>1345</v>
      </c>
      <c r="D774" s="59" t="s">
        <v>1215</v>
      </c>
      <c r="E774" s="26"/>
      <c r="F774" s="85" t="s">
        <v>184</v>
      </c>
      <c r="G774" s="133"/>
      <c r="J774" s="186"/>
      <c r="K774" s="186"/>
      <c r="L774" s="186"/>
      <c r="M774" s="186"/>
      <c r="N774" s="186"/>
      <c r="O774" s="186"/>
      <c r="P774" s="186"/>
    </row>
    <row r="775" spans="1:16" s="4" customFormat="1" ht="100.2" customHeight="1" x14ac:dyDescent="0.45">
      <c r="A775" s="66">
        <f t="shared" si="16"/>
        <v>1275</v>
      </c>
      <c r="B775" s="59">
        <v>2019</v>
      </c>
      <c r="C775" s="59" t="s">
        <v>1346</v>
      </c>
      <c r="D775" s="59" t="s">
        <v>1347</v>
      </c>
      <c r="E775" s="26"/>
      <c r="F775" s="85" t="s">
        <v>184</v>
      </c>
      <c r="G775" s="94"/>
      <c r="H775" s="184"/>
      <c r="I775" s="184"/>
      <c r="J775" s="184"/>
      <c r="K775" s="184"/>
      <c r="L775" s="184"/>
      <c r="M775" s="184"/>
      <c r="N775" s="184"/>
      <c r="O775" s="184"/>
      <c r="P775" s="184"/>
    </row>
    <row r="776" spans="1:16" s="9" customFormat="1" ht="100.2" customHeight="1" x14ac:dyDescent="0.45">
      <c r="A776" s="66">
        <f t="shared" si="16"/>
        <v>1276</v>
      </c>
      <c r="B776" s="59">
        <v>2019</v>
      </c>
      <c r="C776" s="59" t="s">
        <v>1348</v>
      </c>
      <c r="D776" s="59" t="s">
        <v>1349</v>
      </c>
      <c r="E776" s="86"/>
      <c r="F776" s="108" t="s">
        <v>1729</v>
      </c>
      <c r="G776" s="94"/>
      <c r="H776" s="184"/>
      <c r="I776" s="184"/>
      <c r="J776" s="184"/>
      <c r="K776" s="184"/>
      <c r="L776" s="184"/>
      <c r="M776" s="184"/>
      <c r="N776" s="184"/>
      <c r="O776" s="184"/>
      <c r="P776" s="184"/>
    </row>
    <row r="777" spans="1:16" s="4" customFormat="1" ht="30" customHeight="1" x14ac:dyDescent="0.45">
      <c r="A777" s="66">
        <f t="shared" si="16"/>
        <v>1277</v>
      </c>
      <c r="B777" s="59">
        <v>2018</v>
      </c>
      <c r="C777" s="59" t="s">
        <v>1350</v>
      </c>
      <c r="D777" s="59" t="s">
        <v>1351</v>
      </c>
      <c r="E777" s="86"/>
      <c r="F777" s="108" t="s">
        <v>1729</v>
      </c>
      <c r="G777" s="94"/>
      <c r="H777" s="184"/>
      <c r="I777" s="184"/>
      <c r="J777" s="184"/>
      <c r="K777" s="184"/>
      <c r="L777" s="184"/>
      <c r="M777" s="184"/>
      <c r="N777" s="184"/>
      <c r="O777" s="184"/>
      <c r="P777" s="184"/>
    </row>
    <row r="778" spans="1:16" s="9" customFormat="1" ht="100.2" customHeight="1" x14ac:dyDescent="0.45">
      <c r="A778" s="66">
        <f t="shared" si="16"/>
        <v>1278</v>
      </c>
      <c r="B778" s="59">
        <v>2018</v>
      </c>
      <c r="C778" s="59" t="s">
        <v>1352</v>
      </c>
      <c r="D778" s="59" t="s">
        <v>1353</v>
      </c>
      <c r="E778" s="26"/>
      <c r="F778" s="85" t="s">
        <v>184</v>
      </c>
      <c r="G778" s="94"/>
      <c r="H778" s="184"/>
      <c r="I778" s="184"/>
      <c r="J778" s="184"/>
      <c r="K778" s="184"/>
      <c r="L778" s="184"/>
      <c r="M778" s="184"/>
      <c r="N778" s="184"/>
      <c r="O778" s="184"/>
      <c r="P778" s="184"/>
    </row>
    <row r="779" spans="1:16" s="75" customFormat="1" ht="49.95" customHeight="1" x14ac:dyDescent="0.3">
      <c r="A779" s="66">
        <f t="shared" si="16"/>
        <v>1279</v>
      </c>
      <c r="B779" s="59">
        <v>2018</v>
      </c>
      <c r="C779" s="59" t="s">
        <v>1354</v>
      </c>
      <c r="D779" s="59" t="s">
        <v>1355</v>
      </c>
      <c r="E779" s="86"/>
      <c r="F779" s="108" t="s">
        <v>1729</v>
      </c>
      <c r="G779" s="94"/>
    </row>
    <row r="780" spans="1:16" s="75" customFormat="1" ht="49.95" customHeight="1" x14ac:dyDescent="0.3">
      <c r="A780" s="66">
        <f t="shared" si="16"/>
        <v>1280</v>
      </c>
      <c r="B780" s="59">
        <v>2018</v>
      </c>
      <c r="C780" s="59" t="s">
        <v>1356</v>
      </c>
      <c r="D780" s="59" t="s">
        <v>1357</v>
      </c>
      <c r="E780" s="26"/>
      <c r="F780" s="85" t="s">
        <v>184</v>
      </c>
      <c r="G780" s="94"/>
    </row>
    <row r="781" spans="1:16" s="75" customFormat="1" ht="49.95" customHeight="1" x14ac:dyDescent="0.3">
      <c r="A781" s="66">
        <f t="shared" si="16"/>
        <v>1281</v>
      </c>
      <c r="B781" s="59">
        <v>2017</v>
      </c>
      <c r="C781" s="59" t="s">
        <v>1358</v>
      </c>
      <c r="D781" s="59" t="s">
        <v>1359</v>
      </c>
      <c r="E781" s="86"/>
      <c r="F781" s="108" t="s">
        <v>1729</v>
      </c>
      <c r="G781" s="94"/>
    </row>
    <row r="782" spans="1:16" s="75" customFormat="1" ht="49.95" customHeight="1" x14ac:dyDescent="0.3">
      <c r="A782" s="66">
        <f t="shared" si="16"/>
        <v>1282</v>
      </c>
      <c r="B782" s="59" t="s">
        <v>216</v>
      </c>
      <c r="C782" s="59" t="s">
        <v>1360</v>
      </c>
      <c r="D782" s="59" t="s">
        <v>1361</v>
      </c>
      <c r="E782" s="26"/>
      <c r="F782" s="85" t="s">
        <v>145</v>
      </c>
      <c r="G782" s="94"/>
    </row>
    <row r="783" spans="1:16" s="75" customFormat="1" ht="49.95" customHeight="1" x14ac:dyDescent="0.3">
      <c r="A783" s="66">
        <f t="shared" si="16"/>
        <v>1283</v>
      </c>
      <c r="B783" s="59">
        <v>2017</v>
      </c>
      <c r="C783" s="59" t="s">
        <v>1362</v>
      </c>
      <c r="D783" s="59" t="s">
        <v>1363</v>
      </c>
      <c r="E783" s="145"/>
      <c r="F783" s="108" t="s">
        <v>1729</v>
      </c>
      <c r="G783" s="133"/>
    </row>
    <row r="784" spans="1:16" s="75" customFormat="1" ht="49.95" customHeight="1" x14ac:dyDescent="0.3">
      <c r="A784" s="66">
        <f t="shared" si="16"/>
        <v>1284</v>
      </c>
      <c r="B784" s="59" t="s">
        <v>216</v>
      </c>
      <c r="C784" s="59" t="s">
        <v>1364</v>
      </c>
      <c r="D784" s="59" t="s">
        <v>1365</v>
      </c>
      <c r="E784" s="26"/>
      <c r="F784" s="85" t="s">
        <v>145</v>
      </c>
      <c r="G784" s="133"/>
    </row>
    <row r="785" spans="1:16" s="75" customFormat="1" ht="49.95" customHeight="1" thickBot="1" x14ac:dyDescent="0.5">
      <c r="A785" s="44" t="s">
        <v>0</v>
      </c>
      <c r="B785" s="44" t="s">
        <v>1</v>
      </c>
      <c r="C785" s="118" t="s">
        <v>2</v>
      </c>
      <c r="D785" s="153" t="s">
        <v>3</v>
      </c>
      <c r="E785" s="154" t="s">
        <v>4</v>
      </c>
      <c r="F785" s="155" t="s">
        <v>5</v>
      </c>
      <c r="G785" s="47"/>
      <c r="H785" s="185"/>
      <c r="I785" s="185"/>
      <c r="J785" s="185"/>
      <c r="K785" s="187"/>
      <c r="L785" s="188"/>
      <c r="M785" s="189"/>
      <c r="N785" s="188"/>
      <c r="O785" s="185"/>
      <c r="P785" s="189"/>
    </row>
    <row r="786" spans="1:16" s="75" customFormat="1" ht="49.95" customHeight="1" x14ac:dyDescent="0.3">
      <c r="A786" s="49">
        <v>223</v>
      </c>
      <c r="B786" s="50">
        <v>2022</v>
      </c>
      <c r="C786" s="50" t="s">
        <v>1366</v>
      </c>
      <c r="D786" s="156" t="s">
        <v>759</v>
      </c>
      <c r="E786" s="157" t="s">
        <v>1367</v>
      </c>
      <c r="F786" s="158" t="s">
        <v>1368</v>
      </c>
      <c r="G786" s="141"/>
      <c r="H786" s="77"/>
      <c r="I786" s="77"/>
      <c r="J786" s="77"/>
      <c r="K786" s="86"/>
      <c r="L786" s="191"/>
      <c r="M786" s="192"/>
      <c r="N786" s="191"/>
      <c r="O786" s="77"/>
      <c r="P786" s="192"/>
    </row>
    <row r="787" spans="1:16" s="75" customFormat="1" ht="49.95" customHeight="1" x14ac:dyDescent="0.3">
      <c r="A787" s="208" t="s">
        <v>10</v>
      </c>
      <c r="B787" s="209"/>
      <c r="C787" s="209"/>
      <c r="D787" s="209"/>
      <c r="E787" s="210"/>
      <c r="F787" s="205" t="s">
        <v>1733</v>
      </c>
      <c r="G787" s="200"/>
      <c r="H787" s="183"/>
    </row>
    <row r="788" spans="1:16" s="75" customFormat="1" ht="49.95" customHeight="1" x14ac:dyDescent="0.3">
      <c r="A788" s="208"/>
      <c r="B788" s="209"/>
      <c r="C788" s="209"/>
      <c r="D788" s="209"/>
      <c r="E788" s="210"/>
      <c r="F788" s="206"/>
      <c r="G788" s="202"/>
      <c r="H788" s="183"/>
    </row>
    <row r="789" spans="1:16" s="75" customFormat="1" ht="49.95" customHeight="1" x14ac:dyDescent="0.3">
      <c r="A789" s="208"/>
      <c r="B789" s="209"/>
      <c r="C789" s="209"/>
      <c r="D789" s="209"/>
      <c r="E789" s="210"/>
      <c r="F789" s="207"/>
      <c r="G789" s="204"/>
      <c r="H789" s="183"/>
    </row>
    <row r="790" spans="1:16" s="75" customFormat="1" ht="49.95" customHeight="1" x14ac:dyDescent="0.3">
      <c r="A790" s="56" t="s">
        <v>12</v>
      </c>
      <c r="B790" s="55" t="s">
        <v>13</v>
      </c>
      <c r="C790" s="55" t="s">
        <v>14</v>
      </c>
      <c r="D790" s="55" t="s">
        <v>15</v>
      </c>
      <c r="E790" s="57" t="s">
        <v>16</v>
      </c>
      <c r="F790" s="56" t="s">
        <v>1735</v>
      </c>
      <c r="G790" s="55" t="s">
        <v>1737</v>
      </c>
    </row>
    <row r="791" spans="1:16" s="75" customFormat="1" ht="49.95" customHeight="1" x14ac:dyDescent="0.3">
      <c r="A791" s="66">
        <f>SUM(A784,1)</f>
        <v>1285</v>
      </c>
      <c r="B791" s="59">
        <v>2014</v>
      </c>
      <c r="C791" s="59" t="s">
        <v>1369</v>
      </c>
      <c r="D791" s="59" t="s">
        <v>1370</v>
      </c>
      <c r="E791" s="26"/>
      <c r="F791" s="85" t="s">
        <v>67</v>
      </c>
      <c r="G791" s="133"/>
    </row>
    <row r="792" spans="1:16" s="75" customFormat="1" ht="49.95" customHeight="1" x14ac:dyDescent="0.3">
      <c r="A792" s="66">
        <f>SUM(A791,1)</f>
        <v>1286</v>
      </c>
      <c r="B792" s="59">
        <v>2019</v>
      </c>
      <c r="C792" s="59" t="s">
        <v>1371</v>
      </c>
      <c r="D792" s="59" t="s">
        <v>1372</v>
      </c>
      <c r="E792" s="26"/>
      <c r="F792" s="85" t="s">
        <v>145</v>
      </c>
      <c r="G792" s="133"/>
    </row>
    <row r="793" spans="1:16" s="75" customFormat="1" ht="49.95" customHeight="1" x14ac:dyDescent="0.3">
      <c r="A793" s="66">
        <f t="shared" ref="A793:A856" si="17">SUM(A792,1)</f>
        <v>1287</v>
      </c>
      <c r="B793" s="59">
        <v>2020</v>
      </c>
      <c r="C793" s="59" t="s">
        <v>1373</v>
      </c>
      <c r="D793" s="59" t="s">
        <v>1374</v>
      </c>
      <c r="E793" s="26"/>
      <c r="F793" s="85" t="s">
        <v>145</v>
      </c>
      <c r="G793" s="133"/>
    </row>
    <row r="794" spans="1:16" s="75" customFormat="1" ht="49.95" customHeight="1" x14ac:dyDescent="0.3">
      <c r="A794" s="66">
        <f t="shared" si="17"/>
        <v>1288</v>
      </c>
      <c r="B794" s="59">
        <v>2018</v>
      </c>
      <c r="C794" s="59" t="s">
        <v>696</v>
      </c>
      <c r="D794" s="59" t="s">
        <v>697</v>
      </c>
      <c r="E794" s="26"/>
      <c r="F794" s="85" t="s">
        <v>184</v>
      </c>
      <c r="G794" s="133"/>
    </row>
    <row r="795" spans="1:16" s="75" customFormat="1" ht="49.95" customHeight="1" x14ac:dyDescent="0.3">
      <c r="A795" s="66">
        <f t="shared" si="17"/>
        <v>1289</v>
      </c>
      <c r="B795" s="59">
        <v>2019</v>
      </c>
      <c r="C795" s="59" t="s">
        <v>332</v>
      </c>
      <c r="D795" s="59" t="s">
        <v>333</v>
      </c>
      <c r="E795" s="26"/>
      <c r="F795" s="85" t="s">
        <v>184</v>
      </c>
      <c r="G795" s="133"/>
    </row>
    <row r="796" spans="1:16" s="75" customFormat="1" ht="49.95" customHeight="1" x14ac:dyDescent="0.3">
      <c r="A796" s="66">
        <f t="shared" si="17"/>
        <v>1290</v>
      </c>
      <c r="B796" s="59">
        <v>2015</v>
      </c>
      <c r="C796" s="59" t="s">
        <v>1375</v>
      </c>
      <c r="D796" s="59" t="s">
        <v>1376</v>
      </c>
      <c r="E796" s="26"/>
      <c r="F796" s="85" t="s">
        <v>184</v>
      </c>
      <c r="G796" s="133"/>
    </row>
    <row r="797" spans="1:16" s="75" customFormat="1" ht="49.95" customHeight="1" x14ac:dyDescent="0.3">
      <c r="A797" s="66">
        <f t="shared" si="17"/>
        <v>1291</v>
      </c>
      <c r="B797" s="59">
        <v>2020</v>
      </c>
      <c r="C797" s="59" t="s">
        <v>1377</v>
      </c>
      <c r="D797" s="59" t="s">
        <v>1378</v>
      </c>
      <c r="E797" s="26"/>
      <c r="F797" s="85" t="s">
        <v>145</v>
      </c>
      <c r="G797" s="133"/>
    </row>
    <row r="798" spans="1:16" s="75" customFormat="1" ht="49.95" customHeight="1" x14ac:dyDescent="0.3">
      <c r="A798" s="66">
        <f t="shared" si="17"/>
        <v>1292</v>
      </c>
      <c r="B798" s="59">
        <v>2020</v>
      </c>
      <c r="C798" s="59" t="s">
        <v>1379</v>
      </c>
      <c r="D798" s="59" t="s">
        <v>1380</v>
      </c>
      <c r="E798" s="145" t="s">
        <v>1381</v>
      </c>
      <c r="F798" s="85" t="s">
        <v>467</v>
      </c>
      <c r="G798" s="133"/>
    </row>
    <row r="799" spans="1:16" s="75" customFormat="1" ht="49.95" customHeight="1" x14ac:dyDescent="0.3">
      <c r="A799" s="66">
        <f t="shared" si="17"/>
        <v>1293</v>
      </c>
      <c r="B799" s="59">
        <v>2017</v>
      </c>
      <c r="C799" s="59" t="s">
        <v>1382</v>
      </c>
      <c r="D799" s="59" t="s">
        <v>1383</v>
      </c>
      <c r="E799" s="145" t="s">
        <v>1384</v>
      </c>
      <c r="F799" s="85" t="s">
        <v>467</v>
      </c>
      <c r="G799" s="133"/>
    </row>
    <row r="800" spans="1:16" s="75" customFormat="1" ht="49.95" customHeight="1" x14ac:dyDescent="0.3">
      <c r="A800" s="66">
        <f t="shared" si="17"/>
        <v>1294</v>
      </c>
      <c r="B800" s="59">
        <v>2009</v>
      </c>
      <c r="C800" s="59" t="s">
        <v>1385</v>
      </c>
      <c r="D800" s="59" t="s">
        <v>730</v>
      </c>
      <c r="E800" s="26"/>
      <c r="F800" s="85" t="s">
        <v>67</v>
      </c>
      <c r="G800" s="133"/>
    </row>
    <row r="801" spans="1:7" s="75" customFormat="1" ht="49.95" customHeight="1" x14ac:dyDescent="0.3">
      <c r="A801" s="66">
        <f t="shared" si="17"/>
        <v>1295</v>
      </c>
      <c r="B801" s="59">
        <v>2014</v>
      </c>
      <c r="C801" s="59" t="s">
        <v>1386</v>
      </c>
      <c r="D801" s="59" t="s">
        <v>1387</v>
      </c>
      <c r="E801" s="26"/>
      <c r="F801" s="85" t="s">
        <v>67</v>
      </c>
      <c r="G801" s="133"/>
    </row>
    <row r="802" spans="1:7" s="75" customFormat="1" ht="49.95" customHeight="1" x14ac:dyDescent="0.3">
      <c r="A802" s="66">
        <f t="shared" si="17"/>
        <v>1296</v>
      </c>
      <c r="B802" s="59">
        <v>2015</v>
      </c>
      <c r="C802" s="59" t="s">
        <v>1388</v>
      </c>
      <c r="D802" s="59" t="s">
        <v>1389</v>
      </c>
      <c r="E802" s="145" t="s">
        <v>1390</v>
      </c>
      <c r="F802" s="85" t="s">
        <v>467</v>
      </c>
      <c r="G802" s="133"/>
    </row>
    <row r="803" spans="1:7" s="75" customFormat="1" ht="49.95" customHeight="1" x14ac:dyDescent="0.3">
      <c r="A803" s="66">
        <f t="shared" si="17"/>
        <v>1297</v>
      </c>
      <c r="B803" s="59">
        <v>2015</v>
      </c>
      <c r="C803" s="59" t="s">
        <v>1391</v>
      </c>
      <c r="D803" s="59" t="s">
        <v>1392</v>
      </c>
      <c r="E803" s="145"/>
      <c r="F803" s="85" t="s">
        <v>184</v>
      </c>
      <c r="G803" s="133"/>
    </row>
    <row r="804" spans="1:7" s="75" customFormat="1" ht="49.95" customHeight="1" x14ac:dyDescent="0.3">
      <c r="A804" s="66">
        <f t="shared" si="17"/>
        <v>1298</v>
      </c>
      <c r="B804" s="59">
        <v>2016</v>
      </c>
      <c r="C804" s="59" t="s">
        <v>1393</v>
      </c>
      <c r="D804" s="59" t="s">
        <v>1394</v>
      </c>
      <c r="E804" s="145"/>
      <c r="F804" s="85" t="s">
        <v>463</v>
      </c>
      <c r="G804" s="133"/>
    </row>
    <row r="805" spans="1:7" s="75" customFormat="1" ht="49.95" customHeight="1" x14ac:dyDescent="0.3">
      <c r="A805" s="66">
        <f t="shared" si="17"/>
        <v>1299</v>
      </c>
      <c r="B805" s="59">
        <v>2017</v>
      </c>
      <c r="C805" s="59" t="s">
        <v>1395</v>
      </c>
      <c r="D805" s="59" t="s">
        <v>1396</v>
      </c>
      <c r="E805" s="145"/>
      <c r="F805" s="101"/>
      <c r="G805" s="144" t="s">
        <v>70</v>
      </c>
    </row>
    <row r="806" spans="1:7" s="75" customFormat="1" ht="49.95" customHeight="1" x14ac:dyDescent="0.3">
      <c r="A806" s="66">
        <f t="shared" si="17"/>
        <v>1300</v>
      </c>
      <c r="B806" s="59">
        <v>2018</v>
      </c>
      <c r="C806" s="59" t="s">
        <v>1397</v>
      </c>
      <c r="D806" s="59" t="s">
        <v>1398</v>
      </c>
      <c r="E806" s="145"/>
      <c r="F806" s="101"/>
      <c r="G806" s="144" t="s">
        <v>70</v>
      </c>
    </row>
    <row r="807" spans="1:7" s="75" customFormat="1" ht="49.95" customHeight="1" x14ac:dyDescent="0.3">
      <c r="A807" s="66">
        <f t="shared" si="17"/>
        <v>1301</v>
      </c>
      <c r="B807" s="59">
        <v>2019</v>
      </c>
      <c r="C807" s="59" t="s">
        <v>1399</v>
      </c>
      <c r="D807" s="59" t="s">
        <v>1400</v>
      </c>
      <c r="E807" s="26"/>
      <c r="F807" s="85" t="s">
        <v>184</v>
      </c>
      <c r="G807" s="133"/>
    </row>
    <row r="808" spans="1:7" s="75" customFormat="1" ht="49.95" customHeight="1" x14ac:dyDescent="0.3">
      <c r="A808" s="66">
        <f t="shared" si="17"/>
        <v>1302</v>
      </c>
      <c r="B808" s="59">
        <v>2019</v>
      </c>
      <c r="C808" s="59" t="s">
        <v>1401</v>
      </c>
      <c r="D808" s="59" t="s">
        <v>1402</v>
      </c>
      <c r="E808" s="145"/>
      <c r="F808" s="101"/>
      <c r="G808" s="144" t="s">
        <v>70</v>
      </c>
    </row>
    <row r="809" spans="1:7" s="75" customFormat="1" ht="49.95" customHeight="1" x14ac:dyDescent="0.3">
      <c r="A809" s="66">
        <f t="shared" si="17"/>
        <v>1303</v>
      </c>
      <c r="B809" s="59">
        <v>2019</v>
      </c>
      <c r="C809" s="59" t="s">
        <v>1258</v>
      </c>
      <c r="D809" s="59" t="s">
        <v>1259</v>
      </c>
      <c r="E809" s="26"/>
      <c r="F809" s="85" t="s">
        <v>145</v>
      </c>
      <c r="G809" s="133"/>
    </row>
    <row r="810" spans="1:7" s="75" customFormat="1" ht="49.95" customHeight="1" x14ac:dyDescent="0.3">
      <c r="A810" s="66">
        <f t="shared" si="17"/>
        <v>1304</v>
      </c>
      <c r="B810" s="59">
        <v>2019</v>
      </c>
      <c r="C810" s="59" t="s">
        <v>1403</v>
      </c>
      <c r="D810" s="59" t="s">
        <v>1404</v>
      </c>
      <c r="E810" s="145"/>
      <c r="F810" s="101"/>
      <c r="G810" s="144" t="s">
        <v>127</v>
      </c>
    </row>
    <row r="811" spans="1:7" s="75" customFormat="1" ht="49.95" customHeight="1" x14ac:dyDescent="0.3">
      <c r="A811" s="66">
        <f t="shared" si="17"/>
        <v>1305</v>
      </c>
      <c r="B811" s="59">
        <v>2021</v>
      </c>
      <c r="C811" s="59" t="s">
        <v>1405</v>
      </c>
      <c r="D811" s="59" t="s">
        <v>764</v>
      </c>
      <c r="E811" s="26"/>
      <c r="F811" s="85" t="s">
        <v>184</v>
      </c>
      <c r="G811" s="133"/>
    </row>
    <row r="812" spans="1:7" s="75" customFormat="1" ht="49.95" customHeight="1" x14ac:dyDescent="0.3">
      <c r="A812" s="66">
        <f t="shared" si="17"/>
        <v>1306</v>
      </c>
      <c r="B812" s="59">
        <v>2020</v>
      </c>
      <c r="C812" s="59" t="s">
        <v>1406</v>
      </c>
      <c r="D812" s="59" t="s">
        <v>131</v>
      </c>
      <c r="E812" s="145"/>
      <c r="F812" s="101"/>
      <c r="G812" s="68" t="s">
        <v>70</v>
      </c>
    </row>
    <row r="813" spans="1:7" s="75" customFormat="1" ht="49.95" customHeight="1" x14ac:dyDescent="0.3">
      <c r="A813" s="66">
        <f t="shared" si="17"/>
        <v>1307</v>
      </c>
      <c r="B813" s="59">
        <v>2021</v>
      </c>
      <c r="C813" s="59" t="s">
        <v>1407</v>
      </c>
      <c r="D813" s="59" t="s">
        <v>1408</v>
      </c>
      <c r="E813" s="26"/>
      <c r="F813" s="85" t="s">
        <v>184</v>
      </c>
      <c r="G813" s="133"/>
    </row>
    <row r="814" spans="1:7" s="75" customFormat="1" ht="49.95" customHeight="1" x14ac:dyDescent="0.3">
      <c r="A814" s="66">
        <f t="shared" si="17"/>
        <v>1308</v>
      </c>
      <c r="B814" s="59">
        <v>2017</v>
      </c>
      <c r="C814" s="59" t="s">
        <v>1409</v>
      </c>
      <c r="D814" s="59" t="s">
        <v>304</v>
      </c>
      <c r="E814" s="26"/>
      <c r="F814" s="85" t="s">
        <v>184</v>
      </c>
      <c r="G814" s="133"/>
    </row>
    <row r="815" spans="1:7" s="75" customFormat="1" ht="49.95" customHeight="1" x14ac:dyDescent="0.3">
      <c r="A815" s="66">
        <f t="shared" si="17"/>
        <v>1309</v>
      </c>
      <c r="B815" s="59">
        <v>2020</v>
      </c>
      <c r="C815" s="59" t="s">
        <v>1410</v>
      </c>
      <c r="D815" s="59" t="s">
        <v>1411</v>
      </c>
      <c r="E815" s="145"/>
      <c r="F815" s="101"/>
      <c r="G815" s="144" t="s">
        <v>70</v>
      </c>
    </row>
    <row r="816" spans="1:7" s="75" customFormat="1" ht="49.95" customHeight="1" x14ac:dyDescent="0.3">
      <c r="A816" s="66">
        <f t="shared" si="17"/>
        <v>1310</v>
      </c>
      <c r="B816" s="59">
        <v>2017</v>
      </c>
      <c r="C816" s="59" t="s">
        <v>1412</v>
      </c>
      <c r="D816" s="59" t="s">
        <v>1413</v>
      </c>
      <c r="E816" s="145"/>
      <c r="F816" s="101"/>
      <c r="G816" s="144" t="s">
        <v>70</v>
      </c>
    </row>
    <row r="817" spans="1:7" s="75" customFormat="1" ht="49.95" customHeight="1" x14ac:dyDescent="0.3">
      <c r="A817" s="66">
        <f t="shared" si="17"/>
        <v>1311</v>
      </c>
      <c r="B817" s="59">
        <v>2018</v>
      </c>
      <c r="C817" s="59" t="s">
        <v>1414</v>
      </c>
      <c r="D817" s="59" t="s">
        <v>1415</v>
      </c>
      <c r="E817" s="145"/>
      <c r="F817" s="101"/>
      <c r="G817" s="144" t="s">
        <v>70</v>
      </c>
    </row>
    <row r="818" spans="1:7" s="75" customFormat="1" ht="49.95" customHeight="1" x14ac:dyDescent="0.3">
      <c r="A818" s="66">
        <f t="shared" si="17"/>
        <v>1312</v>
      </c>
      <c r="B818" s="59">
        <v>2016</v>
      </c>
      <c r="C818" s="59" t="s">
        <v>1416</v>
      </c>
      <c r="D818" s="59" t="s">
        <v>1417</v>
      </c>
      <c r="E818" s="92"/>
      <c r="F818" s="101"/>
      <c r="G818" s="144" t="s">
        <v>331</v>
      </c>
    </row>
    <row r="819" spans="1:7" s="75" customFormat="1" ht="49.95" customHeight="1" x14ac:dyDescent="0.3">
      <c r="A819" s="66">
        <f t="shared" si="17"/>
        <v>1313</v>
      </c>
      <c r="B819" s="59">
        <v>2017</v>
      </c>
      <c r="C819" s="59" t="s">
        <v>1418</v>
      </c>
      <c r="D819" s="59" t="s">
        <v>1419</v>
      </c>
      <c r="E819" s="145"/>
      <c r="F819" s="101"/>
      <c r="G819" s="144" t="s">
        <v>70</v>
      </c>
    </row>
    <row r="820" spans="1:7" s="75" customFormat="1" ht="49.95" customHeight="1" x14ac:dyDescent="0.3">
      <c r="A820" s="66">
        <f t="shared" si="17"/>
        <v>1314</v>
      </c>
      <c r="B820" s="59">
        <v>2019</v>
      </c>
      <c r="C820" s="59" t="s">
        <v>1420</v>
      </c>
      <c r="D820" s="59" t="s">
        <v>1421</v>
      </c>
      <c r="E820" s="145"/>
      <c r="F820" s="85" t="s">
        <v>49</v>
      </c>
      <c r="G820" s="133"/>
    </row>
    <row r="821" spans="1:7" s="75" customFormat="1" ht="49.95" customHeight="1" x14ac:dyDescent="0.3">
      <c r="A821" s="66">
        <f t="shared" si="17"/>
        <v>1315</v>
      </c>
      <c r="B821" s="59">
        <v>2020</v>
      </c>
      <c r="C821" s="59" t="s">
        <v>1422</v>
      </c>
      <c r="D821" s="59" t="s">
        <v>1423</v>
      </c>
      <c r="E821" s="26"/>
      <c r="F821" s="85" t="s">
        <v>145</v>
      </c>
      <c r="G821" s="133"/>
    </row>
    <row r="822" spans="1:7" s="75" customFormat="1" ht="49.95" customHeight="1" x14ac:dyDescent="0.3">
      <c r="A822" s="66">
        <f t="shared" si="17"/>
        <v>1316</v>
      </c>
      <c r="B822" s="59" t="s">
        <v>216</v>
      </c>
      <c r="C822" s="59" t="s">
        <v>354</v>
      </c>
      <c r="D822" s="59" t="s">
        <v>1424</v>
      </c>
      <c r="E822" s="26"/>
      <c r="F822" s="85" t="s">
        <v>145</v>
      </c>
      <c r="G822" s="133"/>
    </row>
    <row r="823" spans="1:7" s="75" customFormat="1" ht="49.95" customHeight="1" x14ac:dyDescent="0.3">
      <c r="A823" s="66">
        <f t="shared" si="17"/>
        <v>1317</v>
      </c>
      <c r="B823" s="59" t="s">
        <v>216</v>
      </c>
      <c r="C823" s="59" t="s">
        <v>1425</v>
      </c>
      <c r="D823" s="59" t="s">
        <v>1426</v>
      </c>
      <c r="E823" s="26"/>
      <c r="F823" s="85" t="s">
        <v>145</v>
      </c>
      <c r="G823" s="133"/>
    </row>
    <row r="824" spans="1:7" s="75" customFormat="1" ht="49.95" customHeight="1" x14ac:dyDescent="0.3">
      <c r="A824" s="66">
        <f t="shared" si="17"/>
        <v>1318</v>
      </c>
      <c r="B824" s="59">
        <v>2018</v>
      </c>
      <c r="C824" s="59" t="s">
        <v>1427</v>
      </c>
      <c r="D824" s="59" t="s">
        <v>1428</v>
      </c>
      <c r="E824" s="26"/>
      <c r="F824" s="85" t="s">
        <v>145</v>
      </c>
      <c r="G824" s="133"/>
    </row>
    <row r="825" spans="1:7" s="75" customFormat="1" ht="49.95" customHeight="1" x14ac:dyDescent="0.3">
      <c r="A825" s="66">
        <f t="shared" si="17"/>
        <v>1319</v>
      </c>
      <c r="B825" s="59">
        <v>2018</v>
      </c>
      <c r="C825" s="59" t="s">
        <v>1427</v>
      </c>
      <c r="D825" s="59" t="s">
        <v>1429</v>
      </c>
      <c r="E825" s="26"/>
      <c r="F825" s="85" t="s">
        <v>145</v>
      </c>
      <c r="G825" s="133"/>
    </row>
    <row r="826" spans="1:7" s="75" customFormat="1" ht="49.95" customHeight="1" x14ac:dyDescent="0.3">
      <c r="A826" s="66">
        <f t="shared" si="17"/>
        <v>1320</v>
      </c>
      <c r="B826" s="59">
        <v>2016</v>
      </c>
      <c r="C826" s="59" t="s">
        <v>1430</v>
      </c>
      <c r="D826" s="59" t="s">
        <v>1431</v>
      </c>
      <c r="E826" s="145"/>
      <c r="F826" s="85" t="s">
        <v>145</v>
      </c>
      <c r="G826" s="133"/>
    </row>
    <row r="827" spans="1:7" s="75" customFormat="1" ht="49.95" customHeight="1" x14ac:dyDescent="0.3">
      <c r="A827" s="66">
        <f t="shared" si="17"/>
        <v>1321</v>
      </c>
      <c r="B827" s="59">
        <v>2016</v>
      </c>
      <c r="C827" s="59" t="s">
        <v>1432</v>
      </c>
      <c r="D827" s="59" t="s">
        <v>1433</v>
      </c>
      <c r="E827" s="145" t="s">
        <v>1434</v>
      </c>
      <c r="F827" s="85" t="s">
        <v>261</v>
      </c>
      <c r="G827" s="133"/>
    </row>
    <row r="828" spans="1:7" s="75" customFormat="1" ht="49.95" customHeight="1" x14ac:dyDescent="0.3">
      <c r="A828" s="66">
        <f t="shared" si="17"/>
        <v>1322</v>
      </c>
      <c r="B828" s="59">
        <v>2018</v>
      </c>
      <c r="C828" s="59" t="s">
        <v>1435</v>
      </c>
      <c r="D828" s="59" t="s">
        <v>1436</v>
      </c>
      <c r="E828" s="145" t="s">
        <v>1437</v>
      </c>
      <c r="F828" s="85" t="s">
        <v>463</v>
      </c>
      <c r="G828" s="133"/>
    </row>
    <row r="829" spans="1:7" s="75" customFormat="1" ht="49.95" customHeight="1" x14ac:dyDescent="0.3">
      <c r="A829" s="66">
        <f t="shared" si="17"/>
        <v>1323</v>
      </c>
      <c r="B829" s="59">
        <v>2020</v>
      </c>
      <c r="C829" s="59" t="s">
        <v>1438</v>
      </c>
      <c r="D829" s="59" t="s">
        <v>1439</v>
      </c>
      <c r="E829" s="159"/>
      <c r="F829" s="85" t="s">
        <v>463</v>
      </c>
      <c r="G829" s="133"/>
    </row>
    <row r="830" spans="1:7" s="75" customFormat="1" ht="49.95" customHeight="1" x14ac:dyDescent="0.3">
      <c r="A830" s="66">
        <f t="shared" si="17"/>
        <v>1324</v>
      </c>
      <c r="B830" s="59">
        <v>2017</v>
      </c>
      <c r="C830" s="59" t="s">
        <v>1440</v>
      </c>
      <c r="D830" s="59" t="s">
        <v>1441</v>
      </c>
      <c r="E830" s="26"/>
      <c r="F830" s="85" t="s">
        <v>184</v>
      </c>
      <c r="G830" s="133"/>
    </row>
    <row r="831" spans="1:7" s="75" customFormat="1" ht="49.95" customHeight="1" x14ac:dyDescent="0.3">
      <c r="A831" s="66">
        <f t="shared" si="17"/>
        <v>1325</v>
      </c>
      <c r="B831" s="59">
        <v>2021</v>
      </c>
      <c r="C831" s="59" t="s">
        <v>1427</v>
      </c>
      <c r="D831" s="59" t="s">
        <v>1442</v>
      </c>
      <c r="E831" s="26"/>
      <c r="F831" s="85" t="s">
        <v>145</v>
      </c>
      <c r="G831" s="94"/>
    </row>
    <row r="832" spans="1:7" s="75" customFormat="1" ht="49.95" customHeight="1" x14ac:dyDescent="0.3">
      <c r="A832" s="66">
        <f t="shared" si="17"/>
        <v>1326</v>
      </c>
      <c r="B832" s="59" t="s">
        <v>216</v>
      </c>
      <c r="C832" s="59" t="s">
        <v>354</v>
      </c>
      <c r="D832" s="59" t="s">
        <v>1443</v>
      </c>
      <c r="E832" s="26"/>
      <c r="F832" s="85" t="s">
        <v>145</v>
      </c>
      <c r="G832" s="133"/>
    </row>
    <row r="833" spans="1:7" s="75" customFormat="1" ht="49.95" customHeight="1" x14ac:dyDescent="0.3">
      <c r="A833" s="66">
        <f t="shared" si="17"/>
        <v>1327</v>
      </c>
      <c r="B833" s="59" t="s">
        <v>216</v>
      </c>
      <c r="C833" s="59" t="s">
        <v>354</v>
      </c>
      <c r="D833" s="59" t="s">
        <v>1444</v>
      </c>
      <c r="E833" s="26"/>
      <c r="F833" s="85" t="s">
        <v>145</v>
      </c>
      <c r="G833" s="133"/>
    </row>
    <row r="834" spans="1:7" s="75" customFormat="1" ht="49.95" customHeight="1" x14ac:dyDescent="0.3">
      <c r="A834" s="66">
        <f t="shared" si="17"/>
        <v>1328</v>
      </c>
      <c r="B834" s="59">
        <v>1975</v>
      </c>
      <c r="C834" s="59" t="s">
        <v>1445</v>
      </c>
      <c r="D834" s="59" t="s">
        <v>1446</v>
      </c>
      <c r="E834" s="26"/>
      <c r="F834" s="85" t="s">
        <v>67</v>
      </c>
      <c r="G834" s="133"/>
    </row>
    <row r="835" spans="1:7" s="75" customFormat="1" ht="49.95" customHeight="1" x14ac:dyDescent="0.3">
      <c r="A835" s="66">
        <f t="shared" si="17"/>
        <v>1329</v>
      </c>
      <c r="B835" s="59">
        <v>2020</v>
      </c>
      <c r="C835" s="59" t="s">
        <v>1427</v>
      </c>
      <c r="D835" s="59" t="s">
        <v>1447</v>
      </c>
      <c r="E835" s="26"/>
      <c r="F835" s="85" t="s">
        <v>145</v>
      </c>
      <c r="G835" s="133"/>
    </row>
    <row r="836" spans="1:7" s="75" customFormat="1" ht="49.95" customHeight="1" x14ac:dyDescent="0.3">
      <c r="A836" s="66">
        <f t="shared" si="17"/>
        <v>1330</v>
      </c>
      <c r="B836" s="59">
        <v>2019</v>
      </c>
      <c r="C836" s="59" t="s">
        <v>1448</v>
      </c>
      <c r="D836" s="59" t="s">
        <v>1449</v>
      </c>
      <c r="E836" s="145"/>
      <c r="F836" s="85" t="s">
        <v>49</v>
      </c>
      <c r="G836" s="133"/>
    </row>
    <row r="837" spans="1:7" s="75" customFormat="1" ht="49.95" customHeight="1" x14ac:dyDescent="0.3">
      <c r="A837" s="66">
        <f t="shared" si="17"/>
        <v>1331</v>
      </c>
      <c r="B837" s="59" t="s">
        <v>216</v>
      </c>
      <c r="C837" s="59" t="s">
        <v>1450</v>
      </c>
      <c r="D837" s="59" t="s">
        <v>1451</v>
      </c>
      <c r="E837" s="26"/>
      <c r="F837" s="85" t="s">
        <v>145</v>
      </c>
      <c r="G837" s="133"/>
    </row>
    <row r="838" spans="1:7" s="75" customFormat="1" ht="49.95" customHeight="1" x14ac:dyDescent="0.3">
      <c r="A838" s="66">
        <f t="shared" si="17"/>
        <v>1332</v>
      </c>
      <c r="B838" s="59">
        <v>2021</v>
      </c>
      <c r="C838" s="59" t="s">
        <v>1452</v>
      </c>
      <c r="D838" s="59" t="s">
        <v>1453</v>
      </c>
      <c r="E838" s="26"/>
      <c r="F838" s="85" t="s">
        <v>184</v>
      </c>
      <c r="G838" s="94"/>
    </row>
    <row r="839" spans="1:7" s="75" customFormat="1" ht="49.95" customHeight="1" x14ac:dyDescent="0.3">
      <c r="A839" s="66">
        <f t="shared" si="17"/>
        <v>1333</v>
      </c>
      <c r="B839" s="59">
        <v>2015</v>
      </c>
      <c r="C839" s="59" t="s">
        <v>1454</v>
      </c>
      <c r="D839" s="59" t="s">
        <v>1455</v>
      </c>
      <c r="E839" s="145" t="s">
        <v>1456</v>
      </c>
      <c r="F839" s="85" t="s">
        <v>463</v>
      </c>
      <c r="G839" s="133"/>
    </row>
    <row r="840" spans="1:7" s="75" customFormat="1" ht="49.95" customHeight="1" x14ac:dyDescent="0.3">
      <c r="A840" s="66">
        <f t="shared" si="17"/>
        <v>1334</v>
      </c>
      <c r="B840" s="59">
        <v>2019</v>
      </c>
      <c r="C840" s="59" t="s">
        <v>1457</v>
      </c>
      <c r="D840" s="59" t="s">
        <v>1458</v>
      </c>
      <c r="E840" s="145"/>
      <c r="F840" s="160" t="s">
        <v>1459</v>
      </c>
      <c r="G840" s="133"/>
    </row>
    <row r="841" spans="1:7" s="75" customFormat="1" ht="49.95" customHeight="1" x14ac:dyDescent="0.3">
      <c r="A841" s="66">
        <f t="shared" si="17"/>
        <v>1335</v>
      </c>
      <c r="B841" s="59" t="s">
        <v>216</v>
      </c>
      <c r="C841" s="59" t="s">
        <v>1460</v>
      </c>
      <c r="D841" s="59" t="s">
        <v>1461</v>
      </c>
      <c r="E841" s="26"/>
      <c r="F841" s="85" t="s">
        <v>145</v>
      </c>
      <c r="G841" s="133"/>
    </row>
    <row r="842" spans="1:7" s="75" customFormat="1" ht="49.95" customHeight="1" x14ac:dyDescent="0.3">
      <c r="A842" s="66">
        <f t="shared" si="17"/>
        <v>1336</v>
      </c>
      <c r="B842" s="59">
        <v>2013</v>
      </c>
      <c r="C842" s="59" t="s">
        <v>1462</v>
      </c>
      <c r="D842" s="59" t="s">
        <v>1463</v>
      </c>
      <c r="E842" s="26"/>
      <c r="F842" s="85" t="s">
        <v>67</v>
      </c>
      <c r="G842" s="133"/>
    </row>
    <row r="843" spans="1:7" s="75" customFormat="1" ht="49.95" customHeight="1" x14ac:dyDescent="0.3">
      <c r="A843" s="66">
        <f t="shared" si="17"/>
        <v>1337</v>
      </c>
      <c r="B843" s="59">
        <v>2016</v>
      </c>
      <c r="C843" s="59" t="s">
        <v>1464</v>
      </c>
      <c r="D843" s="59" t="s">
        <v>1465</v>
      </c>
      <c r="E843" s="86"/>
      <c r="F843" s="85" t="s">
        <v>261</v>
      </c>
      <c r="G843" s="94"/>
    </row>
    <row r="844" spans="1:7" s="131" customFormat="1" ht="49.95" customHeight="1" x14ac:dyDescent="0.3">
      <c r="A844" s="66">
        <f t="shared" si="17"/>
        <v>1338</v>
      </c>
      <c r="B844" s="59">
        <v>2020</v>
      </c>
      <c r="C844" s="59" t="s">
        <v>1466</v>
      </c>
      <c r="D844" s="59" t="s">
        <v>1467</v>
      </c>
      <c r="E844" s="145" t="s">
        <v>1468</v>
      </c>
      <c r="F844" s="85" t="s">
        <v>463</v>
      </c>
      <c r="G844" s="133"/>
    </row>
    <row r="845" spans="1:7" s="131" customFormat="1" ht="49.95" customHeight="1" x14ac:dyDescent="0.3">
      <c r="A845" s="66">
        <f t="shared" si="17"/>
        <v>1339</v>
      </c>
      <c r="B845" s="59">
        <v>2020</v>
      </c>
      <c r="C845" s="59" t="s">
        <v>1469</v>
      </c>
      <c r="D845" s="59" t="s">
        <v>1470</v>
      </c>
      <c r="E845" s="145"/>
      <c r="F845" s="101"/>
      <c r="G845" s="148" t="s">
        <v>70</v>
      </c>
    </row>
    <row r="846" spans="1:7" s="131" customFormat="1" ht="49.95" customHeight="1" x14ac:dyDescent="0.3">
      <c r="A846" s="66">
        <f t="shared" si="17"/>
        <v>1340</v>
      </c>
      <c r="B846" s="59">
        <v>2019</v>
      </c>
      <c r="C846" s="59" t="s">
        <v>1471</v>
      </c>
      <c r="D846" s="59" t="s">
        <v>1472</v>
      </c>
      <c r="E846" s="145"/>
      <c r="F846" s="101"/>
      <c r="G846" s="148" t="s">
        <v>70</v>
      </c>
    </row>
    <row r="847" spans="1:7" s="131" customFormat="1" ht="49.95" customHeight="1" x14ac:dyDescent="0.3">
      <c r="A847" s="66">
        <f t="shared" si="17"/>
        <v>1341</v>
      </c>
      <c r="B847" s="59" t="s">
        <v>216</v>
      </c>
      <c r="C847" s="59" t="s">
        <v>1473</v>
      </c>
      <c r="D847" s="59" t="s">
        <v>1474</v>
      </c>
      <c r="E847" s="26"/>
      <c r="F847" s="85" t="s">
        <v>145</v>
      </c>
      <c r="G847" s="94"/>
    </row>
    <row r="848" spans="1:7" s="131" customFormat="1" ht="49.95" customHeight="1" x14ac:dyDescent="0.3">
      <c r="A848" s="66">
        <f t="shared" si="17"/>
        <v>1342</v>
      </c>
      <c r="B848" s="59">
        <v>2007</v>
      </c>
      <c r="C848" s="59" t="s">
        <v>1475</v>
      </c>
      <c r="D848" s="59" t="s">
        <v>1476</v>
      </c>
      <c r="E848" s="26"/>
      <c r="F848" s="85" t="s">
        <v>67</v>
      </c>
      <c r="G848" s="94"/>
    </row>
    <row r="849" spans="1:7" s="131" customFormat="1" ht="49.95" customHeight="1" x14ac:dyDescent="0.3">
      <c r="A849" s="66">
        <f t="shared" si="17"/>
        <v>1343</v>
      </c>
      <c r="B849" s="59">
        <v>2017</v>
      </c>
      <c r="C849" s="59" t="s">
        <v>1477</v>
      </c>
      <c r="D849" s="59" t="s">
        <v>1478</v>
      </c>
      <c r="E849" s="26"/>
      <c r="F849" s="85" t="s">
        <v>184</v>
      </c>
      <c r="G849" s="94"/>
    </row>
    <row r="850" spans="1:7" s="131" customFormat="1" ht="49.95" customHeight="1" x14ac:dyDescent="0.3">
      <c r="A850" s="66">
        <f t="shared" si="17"/>
        <v>1344</v>
      </c>
      <c r="B850" s="59">
        <v>2017</v>
      </c>
      <c r="C850" s="59" t="s">
        <v>1479</v>
      </c>
      <c r="D850" s="59" t="s">
        <v>1480</v>
      </c>
      <c r="E850" s="26"/>
      <c r="F850" s="85" t="s">
        <v>184</v>
      </c>
      <c r="G850" s="94"/>
    </row>
    <row r="851" spans="1:7" s="131" customFormat="1" ht="49.95" customHeight="1" x14ac:dyDescent="0.3">
      <c r="A851" s="66">
        <f t="shared" si="17"/>
        <v>1345</v>
      </c>
      <c r="B851" s="59">
        <v>2019</v>
      </c>
      <c r="C851" s="59" t="s">
        <v>1481</v>
      </c>
      <c r="D851" s="59" t="s">
        <v>1482</v>
      </c>
      <c r="E851" s="145"/>
      <c r="F851" s="101"/>
      <c r="G851" s="148" t="s">
        <v>331</v>
      </c>
    </row>
    <row r="852" spans="1:7" s="131" customFormat="1" ht="49.95" customHeight="1" x14ac:dyDescent="0.3">
      <c r="A852" s="66">
        <f t="shared" si="17"/>
        <v>1346</v>
      </c>
      <c r="B852" s="59">
        <v>2020</v>
      </c>
      <c r="C852" s="59" t="s">
        <v>1483</v>
      </c>
      <c r="D852" s="59" t="s">
        <v>1484</v>
      </c>
      <c r="E852" s="26"/>
      <c r="F852" s="85" t="s">
        <v>184</v>
      </c>
      <c r="G852" s="94"/>
    </row>
    <row r="853" spans="1:7" s="131" customFormat="1" ht="49.95" customHeight="1" x14ac:dyDescent="0.3">
      <c r="A853" s="66">
        <f t="shared" si="17"/>
        <v>1347</v>
      </c>
      <c r="B853" s="59">
        <v>2016</v>
      </c>
      <c r="C853" s="59" t="s">
        <v>1485</v>
      </c>
      <c r="D853" s="59" t="s">
        <v>1486</v>
      </c>
      <c r="E853" s="26"/>
      <c r="F853" s="85" t="s">
        <v>145</v>
      </c>
      <c r="G853" s="94"/>
    </row>
    <row r="854" spans="1:7" s="131" customFormat="1" ht="49.95" customHeight="1" x14ac:dyDescent="0.3">
      <c r="A854" s="66">
        <f t="shared" si="17"/>
        <v>1348</v>
      </c>
      <c r="B854" s="59">
        <v>2019</v>
      </c>
      <c r="C854" s="59" t="s">
        <v>1487</v>
      </c>
      <c r="D854" s="59" t="s">
        <v>1488</v>
      </c>
      <c r="E854" s="26"/>
      <c r="F854" s="85" t="s">
        <v>184</v>
      </c>
      <c r="G854" s="133"/>
    </row>
    <row r="855" spans="1:7" s="131" customFormat="1" ht="49.95" customHeight="1" x14ac:dyDescent="0.3">
      <c r="A855" s="66">
        <f t="shared" si="17"/>
        <v>1349</v>
      </c>
      <c r="B855" s="59">
        <v>2013</v>
      </c>
      <c r="C855" s="59" t="s">
        <v>1489</v>
      </c>
      <c r="D855" s="59" t="s">
        <v>1490</v>
      </c>
      <c r="E855" s="26"/>
      <c r="F855" s="85" t="s">
        <v>67</v>
      </c>
      <c r="G855" s="133"/>
    </row>
    <row r="856" spans="1:7" s="131" customFormat="1" ht="49.95" customHeight="1" x14ac:dyDescent="0.3">
      <c r="A856" s="66">
        <f t="shared" si="17"/>
        <v>1350</v>
      </c>
      <c r="B856" s="59">
        <v>2018</v>
      </c>
      <c r="C856" s="59" t="s">
        <v>1491</v>
      </c>
      <c r="D856" s="59" t="s">
        <v>1492</v>
      </c>
      <c r="E856" s="145"/>
      <c r="F856" s="85" t="s">
        <v>184</v>
      </c>
      <c r="G856" s="161"/>
    </row>
    <row r="857" spans="1:7" s="131" customFormat="1" ht="49.95" customHeight="1" x14ac:dyDescent="0.3">
      <c r="A857" s="66">
        <f t="shared" ref="A857:A885" si="18">SUM(A856,1)</f>
        <v>1351</v>
      </c>
      <c r="B857" s="59" t="s">
        <v>216</v>
      </c>
      <c r="C857" s="59" t="s">
        <v>354</v>
      </c>
      <c r="D857" s="59" t="s">
        <v>1493</v>
      </c>
      <c r="E857" s="26"/>
      <c r="F857" s="85" t="s">
        <v>145</v>
      </c>
      <c r="G857" s="162"/>
    </row>
    <row r="858" spans="1:7" s="131" customFormat="1" ht="49.95" customHeight="1" x14ac:dyDescent="0.3">
      <c r="A858" s="66">
        <f t="shared" si="18"/>
        <v>1352</v>
      </c>
      <c r="B858" s="59" t="s">
        <v>216</v>
      </c>
      <c r="C858" s="59" t="s">
        <v>1494</v>
      </c>
      <c r="D858" s="59" t="s">
        <v>693</v>
      </c>
      <c r="E858" s="26"/>
      <c r="F858" s="85" t="s">
        <v>145</v>
      </c>
      <c r="G858" s="162"/>
    </row>
    <row r="859" spans="1:7" s="131" customFormat="1" ht="49.95" customHeight="1" x14ac:dyDescent="0.3">
      <c r="A859" s="66">
        <f t="shared" si="18"/>
        <v>1353</v>
      </c>
      <c r="B859" s="59" t="s">
        <v>216</v>
      </c>
      <c r="C859" s="59" t="s">
        <v>1495</v>
      </c>
      <c r="D859" s="59" t="s">
        <v>1496</v>
      </c>
      <c r="E859" s="26"/>
      <c r="F859" s="85" t="s">
        <v>145</v>
      </c>
      <c r="G859" s="162"/>
    </row>
    <row r="860" spans="1:7" s="131" customFormat="1" ht="49.95" customHeight="1" x14ac:dyDescent="0.3">
      <c r="A860" s="66">
        <f t="shared" si="18"/>
        <v>1354</v>
      </c>
      <c r="B860" s="59">
        <v>2022</v>
      </c>
      <c r="C860" s="59" t="s">
        <v>1497</v>
      </c>
      <c r="D860" s="59" t="s">
        <v>1498</v>
      </c>
      <c r="E860" s="26"/>
      <c r="F860" s="85" t="s">
        <v>145</v>
      </c>
      <c r="G860" s="162"/>
    </row>
    <row r="861" spans="1:7" s="131" customFormat="1" ht="49.95" customHeight="1" x14ac:dyDescent="0.3">
      <c r="A861" s="66">
        <f t="shared" si="18"/>
        <v>1355</v>
      </c>
      <c r="B861" s="59">
        <v>2023</v>
      </c>
      <c r="C861" s="59" t="s">
        <v>1499</v>
      </c>
      <c r="D861" s="59" t="s">
        <v>1500</v>
      </c>
      <c r="E861" s="145"/>
      <c r="F861" s="130"/>
      <c r="G861" s="148" t="s">
        <v>70</v>
      </c>
    </row>
    <row r="862" spans="1:7" s="131" customFormat="1" ht="49.95" customHeight="1" x14ac:dyDescent="0.3">
      <c r="A862" s="66">
        <f t="shared" si="18"/>
        <v>1356</v>
      </c>
      <c r="B862" s="59">
        <v>2024</v>
      </c>
      <c r="C862" s="59" t="s">
        <v>1501</v>
      </c>
      <c r="D862" s="59" t="s">
        <v>1502</v>
      </c>
      <c r="E862" s="26"/>
      <c r="F862" s="85" t="s">
        <v>184</v>
      </c>
      <c r="G862" s="162"/>
    </row>
    <row r="863" spans="1:7" s="131" customFormat="1" ht="49.95" customHeight="1" x14ac:dyDescent="0.3">
      <c r="A863" s="66">
        <f t="shared" si="18"/>
        <v>1357</v>
      </c>
      <c r="B863" s="59">
        <v>2024</v>
      </c>
      <c r="C863" s="59" t="s">
        <v>1503</v>
      </c>
      <c r="D863" s="59" t="s">
        <v>1504</v>
      </c>
      <c r="E863" s="26"/>
      <c r="F863" s="85" t="s">
        <v>145</v>
      </c>
      <c r="G863" s="162"/>
    </row>
    <row r="864" spans="1:7" s="131" customFormat="1" ht="49.95" customHeight="1" x14ac:dyDescent="0.3">
      <c r="A864" s="66">
        <f t="shared" si="18"/>
        <v>1358</v>
      </c>
      <c r="B864" s="59">
        <v>2025</v>
      </c>
      <c r="C864" s="59" t="s">
        <v>1505</v>
      </c>
      <c r="D864" s="59" t="s">
        <v>438</v>
      </c>
      <c r="E864" s="26"/>
      <c r="F864" s="85" t="s">
        <v>184</v>
      </c>
      <c r="G864" s="162"/>
    </row>
    <row r="865" spans="1:35" s="131" customFormat="1" ht="49.95" customHeight="1" x14ac:dyDescent="0.3">
      <c r="A865" s="66">
        <f t="shared" si="18"/>
        <v>1359</v>
      </c>
      <c r="B865" s="59">
        <v>2023</v>
      </c>
      <c r="C865" s="59" t="s">
        <v>1506</v>
      </c>
      <c r="D865" s="59" t="s">
        <v>1507</v>
      </c>
      <c r="E865" s="145"/>
      <c r="F865" s="130"/>
      <c r="G865" s="148" t="s">
        <v>70</v>
      </c>
    </row>
    <row r="866" spans="1:35" s="131" customFormat="1" ht="49.95" customHeight="1" x14ac:dyDescent="0.3">
      <c r="A866" s="66">
        <f t="shared" si="18"/>
        <v>1360</v>
      </c>
      <c r="B866" s="59">
        <v>2022</v>
      </c>
      <c r="C866" s="59" t="s">
        <v>1508</v>
      </c>
      <c r="D866" s="59" t="s">
        <v>1509</v>
      </c>
      <c r="E866" s="26"/>
      <c r="F866" s="85" t="s">
        <v>184</v>
      </c>
      <c r="G866" s="162"/>
    </row>
    <row r="867" spans="1:35" s="131" customFormat="1" ht="49.95" customHeight="1" x14ac:dyDescent="0.3">
      <c r="A867" s="66">
        <f t="shared" si="18"/>
        <v>1361</v>
      </c>
      <c r="B867" s="59">
        <v>2025</v>
      </c>
      <c r="C867" s="59" t="s">
        <v>1510</v>
      </c>
      <c r="D867" s="59" t="s">
        <v>1511</v>
      </c>
      <c r="E867" s="145"/>
      <c r="F867" s="130"/>
      <c r="G867" s="148" t="s">
        <v>70</v>
      </c>
    </row>
    <row r="868" spans="1:35" s="131" customFormat="1" ht="49.95" customHeight="1" x14ac:dyDescent="0.3">
      <c r="A868" s="66">
        <f t="shared" si="18"/>
        <v>1362</v>
      </c>
      <c r="B868" s="59">
        <v>2025</v>
      </c>
      <c r="C868" s="59" t="s">
        <v>1512</v>
      </c>
      <c r="D868" s="59" t="s">
        <v>1513</v>
      </c>
      <c r="E868" s="145"/>
      <c r="F868" s="130"/>
      <c r="G868" s="148" t="s">
        <v>70</v>
      </c>
    </row>
    <row r="869" spans="1:35" s="131" customFormat="1" ht="49.95" customHeight="1" x14ac:dyDescent="0.3">
      <c r="A869" s="66">
        <f t="shared" si="18"/>
        <v>1363</v>
      </c>
      <c r="B869" s="59">
        <v>2024</v>
      </c>
      <c r="C869" s="59" t="s">
        <v>1514</v>
      </c>
      <c r="D869" s="59" t="s">
        <v>1515</v>
      </c>
      <c r="E869" s="145"/>
      <c r="F869" s="130"/>
      <c r="G869" s="161"/>
    </row>
    <row r="870" spans="1:35" s="131" customFormat="1" ht="49.95" customHeight="1" x14ac:dyDescent="0.3">
      <c r="A870" s="66">
        <f t="shared" si="18"/>
        <v>1364</v>
      </c>
      <c r="B870" s="59">
        <v>2024</v>
      </c>
      <c r="C870" s="59" t="s">
        <v>1516</v>
      </c>
      <c r="D870" s="59" t="s">
        <v>1517</v>
      </c>
      <c r="E870" s="26"/>
      <c r="F870" s="85" t="s">
        <v>145</v>
      </c>
      <c r="G870" s="162"/>
    </row>
    <row r="871" spans="1:35" s="131" customFormat="1" ht="49.95" customHeight="1" x14ac:dyDescent="0.3">
      <c r="A871" s="66">
        <f t="shared" si="18"/>
        <v>1365</v>
      </c>
      <c r="B871" s="59">
        <v>2023</v>
      </c>
      <c r="C871" s="59" t="s">
        <v>1518</v>
      </c>
      <c r="D871" s="59" t="s">
        <v>1519</v>
      </c>
      <c r="E871" s="145"/>
      <c r="F871" s="130"/>
      <c r="G871" s="148" t="s">
        <v>70</v>
      </c>
    </row>
    <row r="872" spans="1:35" s="131" customFormat="1" ht="49.95" customHeight="1" x14ac:dyDescent="0.3">
      <c r="A872" s="66">
        <f t="shared" si="18"/>
        <v>1366</v>
      </c>
      <c r="B872" s="59">
        <v>2024</v>
      </c>
      <c r="C872" s="59" t="s">
        <v>1520</v>
      </c>
      <c r="D872" s="59" t="s">
        <v>1521</v>
      </c>
      <c r="E872" s="145"/>
      <c r="F872" s="85" t="s">
        <v>1730</v>
      </c>
      <c r="G872" s="162"/>
    </row>
    <row r="873" spans="1:35" s="131" customFormat="1" ht="49.95" customHeight="1" x14ac:dyDescent="0.3">
      <c r="A873" s="66">
        <f t="shared" si="18"/>
        <v>1367</v>
      </c>
      <c r="B873" s="59">
        <v>2023</v>
      </c>
      <c r="C873" s="59" t="s">
        <v>1522</v>
      </c>
      <c r="D873" s="59" t="s">
        <v>1523</v>
      </c>
      <c r="E873" s="145" t="s">
        <v>1524</v>
      </c>
      <c r="F873" s="85" t="s">
        <v>49</v>
      </c>
      <c r="G873" s="162"/>
    </row>
    <row r="874" spans="1:35" ht="28.8" x14ac:dyDescent="0.3">
      <c r="A874" s="66">
        <f t="shared" si="18"/>
        <v>1368</v>
      </c>
      <c r="B874" s="59">
        <v>2025</v>
      </c>
      <c r="C874" s="59" t="s">
        <v>1525</v>
      </c>
      <c r="D874" s="59" t="s">
        <v>1526</v>
      </c>
      <c r="E874" s="145"/>
      <c r="F874" s="85" t="s">
        <v>49</v>
      </c>
      <c r="G874" s="162"/>
      <c r="J874" s="186"/>
      <c r="K874" s="186"/>
      <c r="L874" s="186"/>
      <c r="M874" s="186"/>
      <c r="N874" s="186"/>
      <c r="O874" s="186"/>
      <c r="P874" s="186"/>
    </row>
    <row r="875" spans="1:35" ht="28.8" x14ac:dyDescent="0.3">
      <c r="A875" s="66">
        <f t="shared" si="18"/>
        <v>1369</v>
      </c>
      <c r="B875" s="59">
        <v>2024</v>
      </c>
      <c r="C875" s="59" t="s">
        <v>1527</v>
      </c>
      <c r="D875" s="59" t="s">
        <v>781</v>
      </c>
      <c r="E875" s="26"/>
      <c r="F875" s="85" t="s">
        <v>184</v>
      </c>
      <c r="G875" s="162"/>
      <c r="J875" s="186"/>
      <c r="K875" s="186"/>
      <c r="L875" s="186"/>
      <c r="M875" s="186"/>
      <c r="N875" s="186"/>
      <c r="O875" s="186"/>
      <c r="P875" s="186"/>
    </row>
    <row r="876" spans="1:35" s="4" customFormat="1" ht="100.2" customHeight="1" x14ac:dyDescent="0.45">
      <c r="A876" s="66">
        <f t="shared" si="18"/>
        <v>1370</v>
      </c>
      <c r="B876" s="59">
        <v>2024</v>
      </c>
      <c r="C876" s="59" t="s">
        <v>1528</v>
      </c>
      <c r="D876" s="59" t="s">
        <v>1529</v>
      </c>
      <c r="E876" s="93" t="s">
        <v>1530</v>
      </c>
      <c r="F876" s="85" t="s">
        <v>49</v>
      </c>
      <c r="G876" s="162"/>
      <c r="H876" s="184"/>
      <c r="I876" s="184"/>
      <c r="J876" s="184"/>
      <c r="K876" s="184"/>
      <c r="L876" s="184"/>
      <c r="M876" s="184"/>
      <c r="N876" s="184"/>
      <c r="O876" s="184"/>
      <c r="P876" s="184"/>
      <c r="Q876" s="184"/>
      <c r="R876" s="184"/>
      <c r="S876" s="184"/>
      <c r="T876" s="184"/>
      <c r="U876" s="184"/>
      <c r="V876" s="184"/>
      <c r="W876" s="184"/>
      <c r="X876" s="184"/>
      <c r="Y876" s="184"/>
      <c r="Z876" s="184"/>
      <c r="AA876" s="184"/>
      <c r="AB876" s="184"/>
      <c r="AC876" s="184"/>
      <c r="AD876" s="184"/>
      <c r="AE876" s="184"/>
      <c r="AF876" s="184"/>
      <c r="AG876" s="184"/>
      <c r="AH876" s="184"/>
      <c r="AI876" s="184"/>
    </row>
    <row r="877" spans="1:35" s="9" customFormat="1" ht="100.2" customHeight="1" x14ac:dyDescent="0.45">
      <c r="A877" s="66">
        <f t="shared" si="18"/>
        <v>1371</v>
      </c>
      <c r="B877" s="59">
        <v>2023</v>
      </c>
      <c r="C877" s="59" t="s">
        <v>1531</v>
      </c>
      <c r="D877" s="59" t="s">
        <v>1532</v>
      </c>
      <c r="E877" s="145"/>
      <c r="F877" s="85" t="s">
        <v>49</v>
      </c>
      <c r="G877" s="162"/>
      <c r="H877" s="184"/>
      <c r="I877" s="184"/>
      <c r="J877" s="184"/>
      <c r="K877" s="184"/>
      <c r="L877" s="184"/>
      <c r="M877" s="184"/>
      <c r="N877" s="184"/>
      <c r="O877" s="184"/>
      <c r="P877" s="184"/>
      <c r="Q877" s="184"/>
      <c r="R877" s="184"/>
      <c r="S877" s="184"/>
      <c r="T877" s="184"/>
      <c r="U877" s="184"/>
      <c r="V877" s="184"/>
      <c r="W877" s="184"/>
      <c r="X877" s="184"/>
      <c r="Y877" s="184"/>
      <c r="Z877" s="184"/>
      <c r="AA877" s="184"/>
      <c r="AB877" s="184"/>
      <c r="AC877" s="184"/>
      <c r="AD877" s="184"/>
      <c r="AE877" s="184"/>
      <c r="AF877" s="184"/>
      <c r="AG877" s="184"/>
      <c r="AH877" s="184"/>
      <c r="AI877" s="184"/>
    </row>
    <row r="878" spans="1:35" s="4" customFormat="1" ht="30" customHeight="1" x14ac:dyDescent="0.45">
      <c r="A878" s="66">
        <f t="shared" si="18"/>
        <v>1372</v>
      </c>
      <c r="B878" s="59">
        <v>2025</v>
      </c>
      <c r="C878" s="59" t="s">
        <v>1533</v>
      </c>
      <c r="D878" s="59" t="s">
        <v>1534</v>
      </c>
      <c r="E878" s="145"/>
      <c r="F878" s="85" t="s">
        <v>1731</v>
      </c>
      <c r="G878" s="162"/>
      <c r="H878" s="184"/>
      <c r="I878" s="184"/>
      <c r="J878" s="184"/>
      <c r="K878" s="184"/>
      <c r="L878" s="184"/>
      <c r="M878" s="184"/>
      <c r="N878" s="184"/>
      <c r="O878" s="184"/>
      <c r="P878" s="184"/>
      <c r="Q878" s="184"/>
      <c r="R878" s="184"/>
      <c r="S878" s="184"/>
      <c r="T878" s="184"/>
      <c r="U878" s="184"/>
      <c r="V878" s="184"/>
      <c r="W878" s="184"/>
      <c r="X878" s="184"/>
      <c r="Y878" s="184"/>
      <c r="Z878" s="184"/>
      <c r="AA878" s="184"/>
      <c r="AB878" s="184"/>
      <c r="AC878" s="184"/>
      <c r="AD878" s="184"/>
      <c r="AE878" s="184"/>
      <c r="AF878" s="184"/>
      <c r="AG878" s="184"/>
      <c r="AH878" s="184"/>
      <c r="AI878" s="184"/>
    </row>
    <row r="879" spans="1:35" s="9" customFormat="1" ht="100.2" customHeight="1" x14ac:dyDescent="0.45">
      <c r="A879" s="66">
        <f t="shared" si="18"/>
        <v>1373</v>
      </c>
      <c r="B879" s="59">
        <v>2024</v>
      </c>
      <c r="C879" s="59" t="s">
        <v>1535</v>
      </c>
      <c r="D879" s="59" t="s">
        <v>1529</v>
      </c>
      <c r="E879" s="145"/>
      <c r="F879" s="85" t="s">
        <v>184</v>
      </c>
      <c r="G879" s="162"/>
      <c r="H879" s="184"/>
      <c r="I879" s="184"/>
      <c r="J879" s="184"/>
      <c r="K879" s="184"/>
      <c r="L879" s="184"/>
      <c r="M879" s="184"/>
      <c r="N879" s="184"/>
      <c r="O879" s="184"/>
      <c r="P879" s="184"/>
      <c r="Q879" s="184"/>
      <c r="R879" s="184"/>
      <c r="S879" s="184"/>
      <c r="T879" s="184"/>
      <c r="U879" s="184"/>
      <c r="V879" s="184"/>
      <c r="W879" s="184"/>
      <c r="X879" s="184"/>
      <c r="Y879" s="184"/>
      <c r="Z879" s="184"/>
      <c r="AA879" s="184"/>
      <c r="AB879" s="184"/>
      <c r="AC879" s="184"/>
      <c r="AD879" s="184"/>
      <c r="AE879" s="184"/>
      <c r="AF879" s="184"/>
      <c r="AG879" s="184"/>
      <c r="AH879" s="184"/>
      <c r="AI879" s="184"/>
    </row>
    <row r="880" spans="1:35" s="75" customFormat="1" ht="49.95" customHeight="1" x14ac:dyDescent="0.3">
      <c r="A880" s="66">
        <f t="shared" si="18"/>
        <v>1374</v>
      </c>
      <c r="B880" s="59">
        <v>2023</v>
      </c>
      <c r="C880" s="59" t="s">
        <v>1506</v>
      </c>
      <c r="D880" s="59" t="s">
        <v>1536</v>
      </c>
      <c r="E880" s="145" t="s">
        <v>1537</v>
      </c>
      <c r="F880" s="85" t="s">
        <v>467</v>
      </c>
      <c r="G880" s="162"/>
    </row>
    <row r="881" spans="1:16" s="75" customFormat="1" ht="49.95" customHeight="1" x14ac:dyDescent="0.3">
      <c r="A881" s="66">
        <f t="shared" si="18"/>
        <v>1375</v>
      </c>
      <c r="B881" s="59" t="s">
        <v>216</v>
      </c>
      <c r="C881" s="59" t="s">
        <v>1538</v>
      </c>
      <c r="D881" s="59" t="s">
        <v>1539</v>
      </c>
      <c r="E881" s="26"/>
      <c r="F881" s="85" t="s">
        <v>145</v>
      </c>
      <c r="G881" s="162"/>
    </row>
    <row r="882" spans="1:16" s="75" customFormat="1" ht="49.95" customHeight="1" x14ac:dyDescent="0.3">
      <c r="A882" s="66">
        <f t="shared" si="18"/>
        <v>1376</v>
      </c>
      <c r="B882" s="59">
        <v>2022</v>
      </c>
      <c r="C882" s="59" t="s">
        <v>1336</v>
      </c>
      <c r="D882" s="59" t="s">
        <v>513</v>
      </c>
      <c r="E882" s="26"/>
      <c r="F882" s="85" t="s">
        <v>184</v>
      </c>
      <c r="G882" s="162"/>
    </row>
    <row r="883" spans="1:16" s="75" customFormat="1" ht="49.95" customHeight="1" x14ac:dyDescent="0.3">
      <c r="A883" s="66">
        <f t="shared" si="18"/>
        <v>1377</v>
      </c>
      <c r="B883" s="59" t="s">
        <v>216</v>
      </c>
      <c r="C883" s="59" t="s">
        <v>1527</v>
      </c>
      <c r="D883" s="59" t="s">
        <v>519</v>
      </c>
      <c r="E883" s="26"/>
      <c r="F883" s="85" t="s">
        <v>184</v>
      </c>
      <c r="G883" s="162"/>
    </row>
    <row r="884" spans="1:16" s="75" customFormat="1" ht="49.95" customHeight="1" x14ac:dyDescent="0.3">
      <c r="A884" s="66">
        <f t="shared" si="18"/>
        <v>1378</v>
      </c>
      <c r="B884" s="59">
        <v>2023</v>
      </c>
      <c r="C884" s="59" t="s">
        <v>1540</v>
      </c>
      <c r="D884" s="59" t="s">
        <v>1541</v>
      </c>
      <c r="E884" s="145"/>
      <c r="F884" s="85" t="s">
        <v>517</v>
      </c>
      <c r="G884" s="162"/>
    </row>
    <row r="885" spans="1:16" s="75" customFormat="1" ht="49.95" customHeight="1" x14ac:dyDescent="0.3">
      <c r="A885" s="66">
        <f t="shared" si="18"/>
        <v>1379</v>
      </c>
      <c r="B885" s="59" t="s">
        <v>216</v>
      </c>
      <c r="C885" s="59" t="s">
        <v>1542</v>
      </c>
      <c r="D885" s="59" t="s">
        <v>1543</v>
      </c>
      <c r="E885" s="26"/>
      <c r="F885" s="85" t="s">
        <v>254</v>
      </c>
      <c r="G885" s="162"/>
    </row>
    <row r="886" spans="1:16" s="75" customFormat="1" ht="49.95" customHeight="1" x14ac:dyDescent="0.45">
      <c r="A886" s="44" t="s">
        <v>0</v>
      </c>
      <c r="B886" s="44" t="s">
        <v>1</v>
      </c>
      <c r="C886" s="44" t="s">
        <v>2</v>
      </c>
      <c r="D886" s="45" t="s">
        <v>3</v>
      </c>
      <c r="E886" s="45" t="s">
        <v>4</v>
      </c>
      <c r="F886" s="46" t="s">
        <v>5</v>
      </c>
      <c r="G886" s="47"/>
      <c r="H886" s="185"/>
      <c r="I886" s="185"/>
      <c r="J886" s="185"/>
      <c r="K886" s="187"/>
      <c r="L886" s="188"/>
      <c r="M886" s="189"/>
      <c r="N886" s="188"/>
      <c r="O886" s="185"/>
      <c r="P886" s="189"/>
    </row>
    <row r="887" spans="1:16" s="75" customFormat="1" ht="49.95" customHeight="1" x14ac:dyDescent="0.3">
      <c r="A887" s="49">
        <v>227</v>
      </c>
      <c r="B887" s="50">
        <v>2021</v>
      </c>
      <c r="C887" s="50" t="s">
        <v>1544</v>
      </c>
      <c r="D887" s="50" t="s">
        <v>1545</v>
      </c>
      <c r="E887" s="163" t="s">
        <v>1546</v>
      </c>
      <c r="F887" s="112" t="s">
        <v>1547</v>
      </c>
      <c r="G887" s="141"/>
      <c r="H887" s="77"/>
      <c r="I887" s="77"/>
      <c r="J887" s="77"/>
      <c r="K887" s="86"/>
      <c r="L887" s="191"/>
      <c r="M887" s="192"/>
      <c r="N887" s="191"/>
      <c r="O887" s="77"/>
      <c r="P887" s="192"/>
    </row>
    <row r="888" spans="1:16" s="75" customFormat="1" ht="49.95" customHeight="1" x14ac:dyDescent="0.3">
      <c r="A888" s="208" t="s">
        <v>10</v>
      </c>
      <c r="B888" s="209"/>
      <c r="C888" s="209"/>
      <c r="D888" s="209"/>
      <c r="E888" s="210"/>
      <c r="F888" s="205" t="s">
        <v>1733</v>
      </c>
      <c r="G888" s="200"/>
      <c r="H888" s="183"/>
    </row>
    <row r="889" spans="1:16" s="75" customFormat="1" ht="49.95" customHeight="1" x14ac:dyDescent="0.3">
      <c r="A889" s="208"/>
      <c r="B889" s="209"/>
      <c r="C889" s="209"/>
      <c r="D889" s="209"/>
      <c r="E889" s="210"/>
      <c r="F889" s="206"/>
      <c r="G889" s="202"/>
      <c r="H889" s="183"/>
    </row>
    <row r="890" spans="1:16" s="75" customFormat="1" ht="49.95" customHeight="1" x14ac:dyDescent="0.3">
      <c r="A890" s="208"/>
      <c r="B890" s="209"/>
      <c r="C890" s="209"/>
      <c r="D890" s="209"/>
      <c r="E890" s="210"/>
      <c r="F890" s="207"/>
      <c r="G890" s="204"/>
      <c r="H890" s="183"/>
    </row>
    <row r="891" spans="1:16" s="75" customFormat="1" ht="49.95" customHeight="1" x14ac:dyDescent="0.3">
      <c r="A891" s="56" t="s">
        <v>12</v>
      </c>
      <c r="B891" s="55" t="s">
        <v>13</v>
      </c>
      <c r="C891" s="55" t="s">
        <v>14</v>
      </c>
      <c r="D891" s="55" t="s">
        <v>15</v>
      </c>
      <c r="E891" s="57" t="s">
        <v>16</v>
      </c>
      <c r="F891" s="56" t="s">
        <v>1735</v>
      </c>
      <c r="G891" s="55" t="s">
        <v>1737</v>
      </c>
    </row>
    <row r="892" spans="1:16" s="75" customFormat="1" ht="49.95" customHeight="1" x14ac:dyDescent="0.3">
      <c r="A892" s="66">
        <f>SUM(A885,1)</f>
        <v>1380</v>
      </c>
      <c r="B892" s="59">
        <v>2019</v>
      </c>
      <c r="C892" s="59" t="s">
        <v>1548</v>
      </c>
      <c r="D892" s="59" t="s">
        <v>1549</v>
      </c>
      <c r="E892" s="26"/>
      <c r="F892" s="85" t="s">
        <v>145</v>
      </c>
      <c r="G892" s="133"/>
    </row>
    <row r="893" spans="1:16" s="75" customFormat="1" ht="49.95" customHeight="1" x14ac:dyDescent="0.3">
      <c r="A893" s="66">
        <f>SUM(A892,1)</f>
        <v>1381</v>
      </c>
      <c r="B893" s="59">
        <v>2013</v>
      </c>
      <c r="C893" s="59" t="s">
        <v>1550</v>
      </c>
      <c r="D893" s="59" t="s">
        <v>1551</v>
      </c>
      <c r="E893" s="26"/>
      <c r="F893" s="85" t="s">
        <v>67</v>
      </c>
      <c r="G893" s="133"/>
    </row>
    <row r="894" spans="1:16" s="75" customFormat="1" ht="49.95" customHeight="1" x14ac:dyDescent="0.3">
      <c r="A894" s="66">
        <f t="shared" ref="A894:A930" si="19">SUM(A893,1)</f>
        <v>1382</v>
      </c>
      <c r="B894" s="59">
        <v>2016</v>
      </c>
      <c r="C894" s="59" t="s">
        <v>1552</v>
      </c>
      <c r="D894" s="59" t="s">
        <v>1553</v>
      </c>
      <c r="E894" s="145" t="s">
        <v>1554</v>
      </c>
      <c r="F894" s="85" t="s">
        <v>49</v>
      </c>
      <c r="G894" s="133"/>
    </row>
    <row r="895" spans="1:16" s="75" customFormat="1" ht="49.95" customHeight="1" x14ac:dyDescent="0.3">
      <c r="A895" s="66">
        <f t="shared" si="19"/>
        <v>1383</v>
      </c>
      <c r="B895" s="59">
        <v>2014</v>
      </c>
      <c r="C895" s="59" t="s">
        <v>1555</v>
      </c>
      <c r="D895" s="59" t="s">
        <v>1556</v>
      </c>
      <c r="E895" s="26"/>
      <c r="F895" s="85" t="s">
        <v>67</v>
      </c>
      <c r="G895" s="133"/>
    </row>
    <row r="896" spans="1:16" s="75" customFormat="1" ht="49.95" customHeight="1" x14ac:dyDescent="0.3">
      <c r="A896" s="66">
        <f t="shared" si="19"/>
        <v>1384</v>
      </c>
      <c r="B896" s="59">
        <v>2019</v>
      </c>
      <c r="C896" s="59" t="s">
        <v>1557</v>
      </c>
      <c r="D896" s="59" t="s">
        <v>1558</v>
      </c>
      <c r="E896" s="26"/>
      <c r="F896" s="85" t="s">
        <v>145</v>
      </c>
      <c r="G896" s="133"/>
    </row>
    <row r="897" spans="1:7" s="75" customFormat="1" ht="49.95" customHeight="1" x14ac:dyDescent="0.3">
      <c r="A897" s="66">
        <f t="shared" si="19"/>
        <v>1385</v>
      </c>
      <c r="B897" s="59">
        <v>2018</v>
      </c>
      <c r="C897" s="59" t="s">
        <v>1559</v>
      </c>
      <c r="D897" s="59" t="s">
        <v>1560</v>
      </c>
      <c r="E897" s="145"/>
      <c r="F897" s="101"/>
      <c r="G897" s="144" t="s">
        <v>120</v>
      </c>
    </row>
    <row r="898" spans="1:7" s="75" customFormat="1" ht="49.95" customHeight="1" x14ac:dyDescent="0.3">
      <c r="A898" s="66">
        <f t="shared" si="19"/>
        <v>1386</v>
      </c>
      <c r="B898" s="59">
        <v>2019</v>
      </c>
      <c r="C898" s="59" t="s">
        <v>1561</v>
      </c>
      <c r="D898" s="59" t="s">
        <v>1562</v>
      </c>
      <c r="E898" s="26"/>
      <c r="F898" s="85" t="s">
        <v>145</v>
      </c>
      <c r="G898" s="133"/>
    </row>
    <row r="899" spans="1:7" s="75" customFormat="1" ht="49.95" customHeight="1" x14ac:dyDescent="0.3">
      <c r="A899" s="66">
        <f t="shared" si="19"/>
        <v>1387</v>
      </c>
      <c r="B899" s="59">
        <v>2014</v>
      </c>
      <c r="C899" s="59" t="s">
        <v>1563</v>
      </c>
      <c r="D899" s="59" t="s">
        <v>600</v>
      </c>
      <c r="E899" s="26"/>
      <c r="F899" s="85" t="s">
        <v>67</v>
      </c>
      <c r="G899" s="133"/>
    </row>
    <row r="900" spans="1:7" s="75" customFormat="1" ht="49.95" customHeight="1" x14ac:dyDescent="0.3">
      <c r="A900" s="66">
        <f t="shared" si="19"/>
        <v>1388</v>
      </c>
      <c r="B900" s="59">
        <v>2018</v>
      </c>
      <c r="C900" s="59" t="s">
        <v>1564</v>
      </c>
      <c r="D900" s="59" t="s">
        <v>1565</v>
      </c>
      <c r="E900" s="145"/>
      <c r="F900" s="85" t="s">
        <v>184</v>
      </c>
      <c r="G900" s="146"/>
    </row>
    <row r="901" spans="1:7" s="75" customFormat="1" ht="49.95" customHeight="1" x14ac:dyDescent="0.3">
      <c r="A901" s="66">
        <f t="shared" si="19"/>
        <v>1389</v>
      </c>
      <c r="B901" s="59">
        <v>2015</v>
      </c>
      <c r="C901" s="59" t="s">
        <v>1566</v>
      </c>
      <c r="D901" s="59" t="s">
        <v>1567</v>
      </c>
      <c r="E901" s="145"/>
      <c r="F901" s="101"/>
      <c r="G901" s="144" t="s">
        <v>127</v>
      </c>
    </row>
    <row r="902" spans="1:7" s="75" customFormat="1" ht="49.95" customHeight="1" x14ac:dyDescent="0.3">
      <c r="A902" s="66">
        <f t="shared" si="19"/>
        <v>1390</v>
      </c>
      <c r="B902" s="59">
        <v>2016</v>
      </c>
      <c r="C902" s="59" t="s">
        <v>1568</v>
      </c>
      <c r="D902" s="59" t="s">
        <v>1569</v>
      </c>
      <c r="E902" s="26"/>
      <c r="F902" s="85" t="s">
        <v>145</v>
      </c>
      <c r="G902" s="133"/>
    </row>
    <row r="903" spans="1:7" s="75" customFormat="1" ht="49.95" customHeight="1" x14ac:dyDescent="0.3">
      <c r="A903" s="66">
        <f t="shared" si="19"/>
        <v>1391</v>
      </c>
      <c r="B903" s="59">
        <v>2013</v>
      </c>
      <c r="C903" s="59" t="s">
        <v>1570</v>
      </c>
      <c r="D903" s="59" t="s">
        <v>1571</v>
      </c>
      <c r="E903" s="26"/>
      <c r="F903" s="85" t="s">
        <v>67</v>
      </c>
      <c r="G903" s="133"/>
    </row>
    <row r="904" spans="1:7" s="75" customFormat="1" ht="49.95" customHeight="1" x14ac:dyDescent="0.3">
      <c r="A904" s="66">
        <f t="shared" si="19"/>
        <v>1392</v>
      </c>
      <c r="B904" s="59">
        <v>2005</v>
      </c>
      <c r="C904" s="59" t="s">
        <v>1572</v>
      </c>
      <c r="D904" s="59" t="s">
        <v>1573</v>
      </c>
      <c r="E904" s="26"/>
      <c r="F904" s="85" t="s">
        <v>67</v>
      </c>
      <c r="G904" s="133"/>
    </row>
    <row r="905" spans="1:7" s="75" customFormat="1" ht="49.95" customHeight="1" x14ac:dyDescent="0.3">
      <c r="A905" s="66">
        <f t="shared" si="19"/>
        <v>1393</v>
      </c>
      <c r="B905" s="59">
        <v>2019</v>
      </c>
      <c r="C905" s="59" t="s">
        <v>1574</v>
      </c>
      <c r="D905" s="59" t="s">
        <v>1575</v>
      </c>
      <c r="E905" s="145"/>
      <c r="F905" s="101"/>
      <c r="G905" s="144" t="s">
        <v>331</v>
      </c>
    </row>
    <row r="906" spans="1:7" s="75" customFormat="1" ht="49.95" customHeight="1" x14ac:dyDescent="0.3">
      <c r="A906" s="66">
        <f t="shared" si="19"/>
        <v>1394</v>
      </c>
      <c r="B906" s="59">
        <v>2014</v>
      </c>
      <c r="C906" s="59" t="s">
        <v>1576</v>
      </c>
      <c r="D906" s="59" t="s">
        <v>1577</v>
      </c>
      <c r="E906" s="26"/>
      <c r="F906" s="85" t="s">
        <v>67</v>
      </c>
      <c r="G906" s="133"/>
    </row>
    <row r="907" spans="1:7" s="75" customFormat="1" ht="49.95" customHeight="1" x14ac:dyDescent="0.3">
      <c r="A907" s="66">
        <f t="shared" si="19"/>
        <v>1395</v>
      </c>
      <c r="B907" s="59">
        <v>2019</v>
      </c>
      <c r="C907" s="59" t="s">
        <v>1578</v>
      </c>
      <c r="D907" s="59" t="s">
        <v>1579</v>
      </c>
      <c r="E907" s="26"/>
      <c r="F907" s="85" t="s">
        <v>67</v>
      </c>
      <c r="G907" s="133"/>
    </row>
    <row r="908" spans="1:7" s="75" customFormat="1" ht="49.95" customHeight="1" x14ac:dyDescent="0.3">
      <c r="A908" s="66">
        <f t="shared" si="19"/>
        <v>1396</v>
      </c>
      <c r="B908" s="59">
        <v>2019</v>
      </c>
      <c r="C908" s="59" t="s">
        <v>1580</v>
      </c>
      <c r="D908" s="59" t="s">
        <v>1581</v>
      </c>
      <c r="E908" s="26"/>
      <c r="F908" s="85" t="s">
        <v>67</v>
      </c>
      <c r="G908" s="133"/>
    </row>
    <row r="909" spans="1:7" s="75" customFormat="1" ht="49.95" customHeight="1" x14ac:dyDescent="0.3">
      <c r="A909" s="66">
        <f t="shared" si="19"/>
        <v>1397</v>
      </c>
      <c r="B909" s="59">
        <v>2019</v>
      </c>
      <c r="C909" s="59" t="s">
        <v>1582</v>
      </c>
      <c r="D909" s="59" t="s">
        <v>1583</v>
      </c>
      <c r="E909" s="26"/>
      <c r="F909" s="85" t="s">
        <v>67</v>
      </c>
      <c r="G909" s="133"/>
    </row>
    <row r="910" spans="1:7" s="75" customFormat="1" ht="49.95" customHeight="1" x14ac:dyDescent="0.3">
      <c r="A910" s="66">
        <f t="shared" si="19"/>
        <v>1398</v>
      </c>
      <c r="B910" s="59">
        <v>2019</v>
      </c>
      <c r="C910" s="59" t="s">
        <v>1584</v>
      </c>
      <c r="D910" s="59" t="s">
        <v>1585</v>
      </c>
      <c r="E910" s="26"/>
      <c r="F910" s="85" t="s">
        <v>67</v>
      </c>
      <c r="G910" s="133"/>
    </row>
    <row r="911" spans="1:7" s="75" customFormat="1" ht="49.95" customHeight="1" x14ac:dyDescent="0.3">
      <c r="A911" s="66">
        <f t="shared" si="19"/>
        <v>1399</v>
      </c>
      <c r="B911" s="59">
        <v>2019</v>
      </c>
      <c r="C911" s="59" t="s">
        <v>1586</v>
      </c>
      <c r="D911" s="59" t="s">
        <v>1587</v>
      </c>
      <c r="E911" s="26"/>
      <c r="F911" s="85" t="s">
        <v>67</v>
      </c>
      <c r="G911" s="133"/>
    </row>
    <row r="912" spans="1:7" s="75" customFormat="1" ht="49.95" customHeight="1" x14ac:dyDescent="0.3">
      <c r="A912" s="66">
        <f t="shared" si="19"/>
        <v>1400</v>
      </c>
      <c r="B912" s="59">
        <v>2006</v>
      </c>
      <c r="C912" s="59" t="s">
        <v>1588</v>
      </c>
      <c r="D912" s="59" t="s">
        <v>1589</v>
      </c>
      <c r="E912" s="26"/>
      <c r="F912" s="85" t="s">
        <v>67</v>
      </c>
      <c r="G912" s="133"/>
    </row>
    <row r="913" spans="1:75" s="75" customFormat="1" ht="49.95" customHeight="1" x14ac:dyDescent="0.3">
      <c r="A913" s="66">
        <f t="shared" si="19"/>
        <v>1401</v>
      </c>
      <c r="B913" s="59">
        <v>2019</v>
      </c>
      <c r="C913" s="59" t="s">
        <v>1561</v>
      </c>
      <c r="D913" s="59" t="s">
        <v>1562</v>
      </c>
      <c r="E913" s="26"/>
      <c r="F913" s="85" t="s">
        <v>67</v>
      </c>
      <c r="G913" s="133"/>
    </row>
    <row r="914" spans="1:75" s="75" customFormat="1" ht="49.95" customHeight="1" x14ac:dyDescent="0.3">
      <c r="A914" s="66">
        <f t="shared" si="19"/>
        <v>1402</v>
      </c>
      <c r="B914" s="59">
        <v>2019</v>
      </c>
      <c r="C914" s="59" t="s">
        <v>1590</v>
      </c>
      <c r="D914" s="59" t="s">
        <v>1591</v>
      </c>
      <c r="E914" s="145"/>
      <c r="F914" s="101"/>
      <c r="G914" s="144" t="s">
        <v>331</v>
      </c>
    </row>
    <row r="915" spans="1:75" s="75" customFormat="1" ht="49.95" customHeight="1" x14ac:dyDescent="0.3">
      <c r="A915" s="66">
        <f t="shared" si="19"/>
        <v>1403</v>
      </c>
      <c r="B915" s="59">
        <v>2001</v>
      </c>
      <c r="C915" s="59" t="s">
        <v>1592</v>
      </c>
      <c r="D915" s="59" t="s">
        <v>1593</v>
      </c>
      <c r="E915" s="26"/>
      <c r="F915" s="85" t="s">
        <v>67</v>
      </c>
      <c r="G915" s="133"/>
    </row>
    <row r="916" spans="1:75" s="75" customFormat="1" ht="49.95" customHeight="1" x14ac:dyDescent="0.3">
      <c r="A916" s="66">
        <f t="shared" si="19"/>
        <v>1404</v>
      </c>
      <c r="B916" s="59">
        <v>2011</v>
      </c>
      <c r="C916" s="59" t="s">
        <v>1594</v>
      </c>
      <c r="D916" s="59" t="s">
        <v>1595</v>
      </c>
      <c r="E916" s="26"/>
      <c r="F916" s="85" t="s">
        <v>67</v>
      </c>
      <c r="G916" s="133"/>
    </row>
    <row r="917" spans="1:75" s="75" customFormat="1" ht="49.95" customHeight="1" x14ac:dyDescent="0.3">
      <c r="A917" s="66">
        <f t="shared" si="19"/>
        <v>1405</v>
      </c>
      <c r="B917" s="59">
        <v>2014</v>
      </c>
      <c r="C917" s="59" t="s">
        <v>1596</v>
      </c>
      <c r="D917" s="59" t="s">
        <v>1597</v>
      </c>
      <c r="E917" s="26"/>
      <c r="F917" s="85" t="s">
        <v>67</v>
      </c>
      <c r="G917" s="133"/>
    </row>
    <row r="918" spans="1:75" s="75" customFormat="1" ht="49.95" customHeight="1" x14ac:dyDescent="0.3">
      <c r="A918" s="66">
        <f t="shared" si="19"/>
        <v>1406</v>
      </c>
      <c r="B918" s="59">
        <v>2013</v>
      </c>
      <c r="C918" s="59" t="s">
        <v>1596</v>
      </c>
      <c r="D918" s="59" t="s">
        <v>1598</v>
      </c>
      <c r="E918" s="26"/>
      <c r="F918" s="85" t="s">
        <v>67</v>
      </c>
      <c r="G918" s="133"/>
    </row>
    <row r="919" spans="1:75" ht="28.8" x14ac:dyDescent="0.3">
      <c r="A919" s="66">
        <f t="shared" si="19"/>
        <v>1407</v>
      </c>
      <c r="B919" s="59">
        <v>2015</v>
      </c>
      <c r="C919" s="59" t="s">
        <v>1599</v>
      </c>
      <c r="D919" s="59" t="s">
        <v>1600</v>
      </c>
      <c r="E919" s="26"/>
      <c r="F919" s="85" t="s">
        <v>145</v>
      </c>
      <c r="G919" s="133"/>
      <c r="J919" s="186"/>
      <c r="K919" s="186"/>
      <c r="L919" s="186"/>
      <c r="M919" s="186"/>
      <c r="N919" s="186"/>
      <c r="O919" s="186"/>
      <c r="P919" s="186"/>
    </row>
    <row r="920" spans="1:75" ht="28.8" x14ac:dyDescent="0.3">
      <c r="A920" s="66">
        <f t="shared" si="19"/>
        <v>1408</v>
      </c>
      <c r="B920" s="59">
        <v>2015</v>
      </c>
      <c r="C920" s="59" t="s">
        <v>1601</v>
      </c>
      <c r="D920" s="59" t="s">
        <v>1602</v>
      </c>
      <c r="E920" s="145"/>
      <c r="F920" s="101"/>
      <c r="G920" s="146" t="s">
        <v>1603</v>
      </c>
      <c r="J920" s="186"/>
      <c r="K920" s="186"/>
      <c r="L920" s="186"/>
      <c r="M920" s="186"/>
      <c r="N920" s="186"/>
      <c r="O920" s="186"/>
      <c r="P920" s="186"/>
    </row>
    <row r="921" spans="1:75" ht="28.8" x14ac:dyDescent="0.3">
      <c r="A921" s="66">
        <f t="shared" si="19"/>
        <v>1409</v>
      </c>
      <c r="B921" s="59">
        <v>2015</v>
      </c>
      <c r="C921" s="59" t="s">
        <v>1604</v>
      </c>
      <c r="D921" s="59" t="s">
        <v>1605</v>
      </c>
      <c r="E921" s="145"/>
      <c r="F921" s="101"/>
      <c r="G921" s="146" t="s">
        <v>1606</v>
      </c>
      <c r="J921" s="186"/>
      <c r="K921" s="186"/>
      <c r="L921" s="186"/>
      <c r="M921" s="186"/>
      <c r="N921" s="186"/>
      <c r="O921" s="186"/>
      <c r="P921" s="186"/>
    </row>
    <row r="922" spans="1:75" ht="28.8" x14ac:dyDescent="0.3">
      <c r="A922" s="66">
        <f t="shared" si="19"/>
        <v>1410</v>
      </c>
      <c r="B922" s="59">
        <v>2016</v>
      </c>
      <c r="C922" s="59" t="s">
        <v>1607</v>
      </c>
      <c r="D922" s="59" t="s">
        <v>1608</v>
      </c>
      <c r="E922" s="145"/>
      <c r="F922" s="101"/>
      <c r="G922" s="146"/>
      <c r="J922" s="186"/>
      <c r="K922" s="186"/>
      <c r="L922" s="186"/>
      <c r="M922" s="186"/>
      <c r="N922" s="186"/>
      <c r="O922" s="186"/>
      <c r="P922" s="186"/>
    </row>
    <row r="923" spans="1:75" ht="28.8" x14ac:dyDescent="0.3">
      <c r="A923" s="66">
        <f t="shared" si="19"/>
        <v>1411</v>
      </c>
      <c r="B923" s="59">
        <v>2005</v>
      </c>
      <c r="C923" s="59" t="s">
        <v>1609</v>
      </c>
      <c r="D923" s="59" t="s">
        <v>1610</v>
      </c>
      <c r="E923" s="26"/>
      <c r="F923" s="85" t="s">
        <v>67</v>
      </c>
      <c r="G923" s="133"/>
      <c r="J923" s="186"/>
      <c r="K923" s="186"/>
      <c r="L923" s="186"/>
      <c r="M923" s="186"/>
      <c r="N923" s="186"/>
      <c r="O923" s="186"/>
      <c r="P923" s="186"/>
    </row>
    <row r="924" spans="1:75" ht="28.8" x14ac:dyDescent="0.3">
      <c r="A924" s="66">
        <f t="shared" si="19"/>
        <v>1412</v>
      </c>
      <c r="B924" s="59">
        <v>2017</v>
      </c>
      <c r="C924" s="59" t="s">
        <v>1611</v>
      </c>
      <c r="D924" s="59" t="s">
        <v>1612</v>
      </c>
      <c r="E924" s="145"/>
      <c r="F924" s="101"/>
      <c r="G924" s="146"/>
      <c r="J924" s="186"/>
      <c r="K924" s="186"/>
      <c r="L924" s="186"/>
      <c r="M924" s="186"/>
      <c r="N924" s="186"/>
      <c r="O924" s="186"/>
      <c r="P924" s="186"/>
    </row>
    <row r="925" spans="1:75" ht="28.8" x14ac:dyDescent="0.3">
      <c r="A925" s="66">
        <f t="shared" si="19"/>
        <v>1413</v>
      </c>
      <c r="B925" s="59">
        <v>2015</v>
      </c>
      <c r="C925" s="59" t="s">
        <v>1613</v>
      </c>
      <c r="D925" s="59" t="s">
        <v>1614</v>
      </c>
      <c r="E925" s="145"/>
      <c r="F925" s="101"/>
      <c r="G925" s="144" t="s">
        <v>127</v>
      </c>
      <c r="J925" s="186"/>
      <c r="K925" s="186"/>
      <c r="L925" s="186"/>
      <c r="M925" s="186"/>
      <c r="N925" s="186"/>
      <c r="O925" s="186"/>
      <c r="P925" s="186"/>
    </row>
    <row r="926" spans="1:75" ht="43.2" x14ac:dyDescent="0.3">
      <c r="A926" s="66">
        <f t="shared" si="19"/>
        <v>1414</v>
      </c>
      <c r="B926" s="59">
        <v>2025</v>
      </c>
      <c r="C926" s="59" t="s">
        <v>1615</v>
      </c>
      <c r="D926" s="59" t="s">
        <v>560</v>
      </c>
      <c r="E926" s="145"/>
      <c r="F926" s="101"/>
      <c r="G926" s="144" t="s">
        <v>120</v>
      </c>
      <c r="J926" s="186"/>
      <c r="K926" s="186"/>
      <c r="L926" s="186"/>
      <c r="M926" s="186"/>
      <c r="N926" s="186"/>
      <c r="O926" s="186"/>
      <c r="P926" s="186"/>
      <c r="R926" s="186"/>
      <c r="S926" s="186"/>
      <c r="T926" s="186"/>
      <c r="U926" s="186"/>
      <c r="V926" s="186"/>
      <c r="W926" s="186"/>
      <c r="X926" s="186"/>
      <c r="Y926" s="186"/>
      <c r="Z926" s="186"/>
      <c r="AA926" s="186"/>
      <c r="AB926" s="186"/>
      <c r="AC926" s="186"/>
      <c r="AD926" s="186"/>
      <c r="AE926" s="186"/>
      <c r="AF926" s="186"/>
      <c r="AG926" s="186"/>
      <c r="AH926" s="186"/>
      <c r="AI926" s="186"/>
      <c r="AJ926" s="186"/>
      <c r="AK926" s="186"/>
      <c r="AL926" s="186"/>
      <c r="AM926" s="186"/>
      <c r="AN926" s="186"/>
      <c r="AO926" s="186"/>
      <c r="AP926" s="186"/>
      <c r="AQ926" s="186"/>
      <c r="AR926" s="186"/>
      <c r="AS926" s="186"/>
      <c r="AT926" s="186"/>
      <c r="AU926" s="186"/>
      <c r="AV926" s="186"/>
      <c r="AW926" s="186"/>
      <c r="AX926" s="186"/>
      <c r="AY926" s="186"/>
      <c r="AZ926" s="186"/>
      <c r="BA926" s="186"/>
      <c r="BB926" s="186"/>
      <c r="BC926" s="186"/>
      <c r="BD926" s="186"/>
      <c r="BE926" s="186"/>
      <c r="BF926" s="186"/>
      <c r="BG926" s="186"/>
      <c r="BH926" s="186"/>
      <c r="BI926" s="186"/>
      <c r="BJ926" s="186"/>
      <c r="BK926" s="186"/>
      <c r="BL926" s="186"/>
      <c r="BM926" s="186"/>
      <c r="BN926" s="186"/>
      <c r="BO926" s="186"/>
      <c r="BP926" s="186"/>
      <c r="BQ926" s="186"/>
      <c r="BR926" s="186"/>
      <c r="BS926" s="186"/>
      <c r="BT926" s="186"/>
      <c r="BU926" s="186"/>
      <c r="BV926" s="186"/>
      <c r="BW926" s="186"/>
    </row>
    <row r="927" spans="1:75" ht="28.8" x14ac:dyDescent="0.3">
      <c r="A927" s="66">
        <f t="shared" si="19"/>
        <v>1415</v>
      </c>
      <c r="B927" s="59">
        <v>2025</v>
      </c>
      <c r="C927" s="59" t="s">
        <v>1616</v>
      </c>
      <c r="D927" s="59" t="s">
        <v>1617</v>
      </c>
      <c r="E927" s="26"/>
      <c r="F927" s="85" t="s">
        <v>145</v>
      </c>
      <c r="G927" s="133"/>
      <c r="J927" s="186"/>
      <c r="K927" s="186"/>
      <c r="L927" s="186"/>
      <c r="M927" s="186"/>
      <c r="N927" s="186"/>
      <c r="O927" s="186"/>
      <c r="P927" s="186"/>
      <c r="R927" s="186"/>
      <c r="S927" s="186"/>
      <c r="T927" s="186"/>
      <c r="U927" s="186"/>
      <c r="V927" s="186"/>
      <c r="W927" s="186"/>
      <c r="X927" s="186"/>
      <c r="Y927" s="186"/>
      <c r="Z927" s="186"/>
      <c r="AA927" s="186"/>
      <c r="AB927" s="186"/>
      <c r="AC927" s="186"/>
      <c r="AD927" s="186"/>
      <c r="AE927" s="186"/>
      <c r="AF927" s="186"/>
      <c r="AG927" s="186"/>
      <c r="AH927" s="186"/>
      <c r="AI927" s="186"/>
      <c r="AJ927" s="186"/>
      <c r="AK927" s="186"/>
      <c r="AL927" s="186"/>
      <c r="AM927" s="186"/>
      <c r="AN927" s="186"/>
      <c r="AO927" s="186"/>
      <c r="AP927" s="186"/>
      <c r="AQ927" s="186"/>
      <c r="AR927" s="186"/>
      <c r="AS927" s="186"/>
      <c r="AT927" s="186"/>
      <c r="AU927" s="186"/>
      <c r="AV927" s="186"/>
      <c r="AW927" s="186"/>
      <c r="AX927" s="186"/>
      <c r="AY927" s="186"/>
      <c r="AZ927" s="186"/>
      <c r="BA927" s="186"/>
      <c r="BB927" s="186"/>
      <c r="BC927" s="186"/>
      <c r="BD927" s="186"/>
      <c r="BE927" s="186"/>
      <c r="BF927" s="186"/>
      <c r="BG927" s="186"/>
      <c r="BH927" s="186"/>
      <c r="BI927" s="186"/>
      <c r="BJ927" s="186"/>
      <c r="BK927" s="186"/>
      <c r="BL927" s="186"/>
      <c r="BM927" s="186"/>
      <c r="BN927" s="186"/>
      <c r="BO927" s="186"/>
      <c r="BP927" s="186"/>
      <c r="BQ927" s="186"/>
      <c r="BR927" s="186"/>
      <c r="BS927" s="186"/>
      <c r="BT927" s="186"/>
      <c r="BU927" s="186"/>
      <c r="BV927" s="186"/>
      <c r="BW927" s="186"/>
    </row>
    <row r="928" spans="1:75" ht="28.8" x14ac:dyDescent="0.3">
      <c r="A928" s="66">
        <f t="shared" si="19"/>
        <v>1416</v>
      </c>
      <c r="B928" s="59">
        <v>2023</v>
      </c>
      <c r="C928" s="59" t="s">
        <v>1618</v>
      </c>
      <c r="D928" s="59" t="s">
        <v>1619</v>
      </c>
      <c r="E928" s="145"/>
      <c r="F928" s="101"/>
      <c r="G928" s="144" t="s">
        <v>331</v>
      </c>
      <c r="J928" s="186"/>
      <c r="K928" s="186"/>
      <c r="L928" s="186"/>
      <c r="M928" s="186"/>
      <c r="N928" s="186"/>
      <c r="O928" s="186"/>
      <c r="P928" s="186"/>
      <c r="R928" s="186"/>
      <c r="S928" s="186"/>
      <c r="T928" s="186"/>
      <c r="U928" s="186"/>
      <c r="V928" s="186"/>
      <c r="W928" s="186"/>
      <c r="X928" s="186"/>
      <c r="Y928" s="186"/>
      <c r="Z928" s="186"/>
      <c r="AA928" s="186"/>
      <c r="AB928" s="186"/>
      <c r="AC928" s="186"/>
      <c r="AD928" s="186"/>
      <c r="AE928" s="186"/>
      <c r="AF928" s="186"/>
      <c r="AG928" s="186"/>
      <c r="AH928" s="186"/>
      <c r="AI928" s="186"/>
      <c r="AJ928" s="186"/>
      <c r="AK928" s="186"/>
      <c r="AL928" s="186"/>
      <c r="AM928" s="186"/>
      <c r="AN928" s="186"/>
      <c r="AO928" s="186"/>
      <c r="AP928" s="186"/>
      <c r="AQ928" s="186"/>
      <c r="AR928" s="186"/>
      <c r="AS928" s="186"/>
      <c r="AT928" s="186"/>
      <c r="AU928" s="186"/>
      <c r="AV928" s="186"/>
      <c r="AW928" s="186"/>
      <c r="AX928" s="186"/>
      <c r="AY928" s="186"/>
      <c r="AZ928" s="186"/>
      <c r="BA928" s="186"/>
      <c r="BB928" s="186"/>
      <c r="BC928" s="186"/>
      <c r="BD928" s="186"/>
      <c r="BE928" s="186"/>
      <c r="BF928" s="186"/>
      <c r="BG928" s="186"/>
      <c r="BH928" s="186"/>
      <c r="BI928" s="186"/>
      <c r="BJ928" s="186"/>
      <c r="BK928" s="186"/>
      <c r="BL928" s="186"/>
      <c r="BM928" s="186"/>
      <c r="BN928" s="186"/>
      <c r="BO928" s="186"/>
      <c r="BP928" s="186"/>
      <c r="BQ928" s="186"/>
      <c r="BR928" s="186"/>
      <c r="BS928" s="186"/>
      <c r="BT928" s="186"/>
      <c r="BU928" s="186"/>
      <c r="BV928" s="186"/>
      <c r="BW928" s="186"/>
    </row>
    <row r="929" spans="1:75" ht="28.8" x14ac:dyDescent="0.3">
      <c r="A929" s="66">
        <f t="shared" si="19"/>
        <v>1417</v>
      </c>
      <c r="B929" s="59">
        <v>2025</v>
      </c>
      <c r="C929" s="59" t="s">
        <v>1620</v>
      </c>
      <c r="D929" s="59" t="s">
        <v>1621</v>
      </c>
      <c r="E929" s="26"/>
      <c r="F929" s="85" t="s">
        <v>145</v>
      </c>
      <c r="G929" s="94"/>
      <c r="J929" s="186"/>
      <c r="K929" s="186"/>
      <c r="L929" s="186"/>
      <c r="M929" s="186"/>
      <c r="N929" s="186"/>
      <c r="O929" s="186"/>
      <c r="P929" s="186"/>
      <c r="R929" s="186"/>
      <c r="S929" s="186"/>
      <c r="T929" s="186"/>
      <c r="U929" s="186"/>
      <c r="V929" s="186"/>
      <c r="W929" s="186"/>
      <c r="X929" s="186"/>
      <c r="Y929" s="186"/>
      <c r="Z929" s="186"/>
      <c r="AA929" s="186"/>
      <c r="AB929" s="186"/>
      <c r="AC929" s="186"/>
      <c r="AD929" s="186"/>
      <c r="AE929" s="186"/>
      <c r="AF929" s="186"/>
      <c r="AG929" s="186"/>
      <c r="AH929" s="186"/>
      <c r="AI929" s="186"/>
      <c r="AJ929" s="186"/>
      <c r="AK929" s="186"/>
      <c r="AL929" s="186"/>
      <c r="AM929" s="186"/>
      <c r="AN929" s="186"/>
      <c r="AO929" s="186"/>
      <c r="AP929" s="186"/>
      <c r="AQ929" s="186"/>
      <c r="AR929" s="186"/>
      <c r="AS929" s="186"/>
      <c r="AT929" s="186"/>
      <c r="AU929" s="186"/>
      <c r="AV929" s="186"/>
      <c r="AW929" s="186"/>
      <c r="AX929" s="186"/>
      <c r="AY929" s="186"/>
      <c r="AZ929" s="186"/>
      <c r="BA929" s="186"/>
      <c r="BB929" s="186"/>
      <c r="BC929" s="186"/>
      <c r="BD929" s="186"/>
      <c r="BE929" s="186"/>
      <c r="BF929" s="186"/>
      <c r="BG929" s="186"/>
      <c r="BH929" s="186"/>
      <c r="BI929" s="186"/>
      <c r="BJ929" s="186"/>
      <c r="BK929" s="186"/>
      <c r="BL929" s="186"/>
      <c r="BM929" s="186"/>
      <c r="BN929" s="186"/>
      <c r="BO929" s="186"/>
      <c r="BP929" s="186"/>
      <c r="BQ929" s="186"/>
      <c r="BR929" s="186"/>
      <c r="BS929" s="186"/>
      <c r="BT929" s="186"/>
      <c r="BU929" s="186"/>
      <c r="BV929" s="186"/>
      <c r="BW929" s="186"/>
    </row>
    <row r="930" spans="1:75" ht="29.4" thickBot="1" x14ac:dyDescent="0.35">
      <c r="A930" s="66">
        <f t="shared" si="19"/>
        <v>1418</v>
      </c>
      <c r="B930" s="164">
        <v>2023</v>
      </c>
      <c r="C930" s="164" t="s">
        <v>1622</v>
      </c>
      <c r="D930" s="164" t="s">
        <v>1623</v>
      </c>
      <c r="E930" s="165"/>
      <c r="F930" s="166" t="s">
        <v>145</v>
      </c>
      <c r="G930" s="167"/>
      <c r="J930" s="186"/>
      <c r="K930" s="186"/>
      <c r="L930" s="186"/>
      <c r="M930" s="186"/>
      <c r="N930" s="186"/>
      <c r="O930" s="186"/>
      <c r="P930" s="186"/>
      <c r="R930" s="186"/>
      <c r="S930" s="186"/>
      <c r="T930" s="186"/>
      <c r="U930" s="186"/>
      <c r="V930" s="186"/>
      <c r="W930" s="186"/>
      <c r="X930" s="186"/>
      <c r="Y930" s="186"/>
      <c r="Z930" s="186"/>
      <c r="AA930" s="186"/>
      <c r="AB930" s="186"/>
      <c r="AC930" s="186"/>
      <c r="AD930" s="186"/>
      <c r="AE930" s="186"/>
      <c r="AF930" s="186"/>
      <c r="AG930" s="186"/>
      <c r="AH930" s="186"/>
      <c r="AI930" s="186"/>
      <c r="AJ930" s="186"/>
      <c r="AK930" s="186"/>
      <c r="AL930" s="186"/>
      <c r="AM930" s="186"/>
      <c r="AN930" s="186"/>
      <c r="AO930" s="186"/>
      <c r="AP930" s="186"/>
      <c r="AQ930" s="186"/>
      <c r="AR930" s="186"/>
      <c r="AS930" s="186"/>
      <c r="AT930" s="186"/>
      <c r="AU930" s="186"/>
      <c r="AV930" s="186"/>
      <c r="AW930" s="186"/>
      <c r="AX930" s="186"/>
      <c r="AY930" s="186"/>
      <c r="AZ930" s="186"/>
      <c r="BA930" s="186"/>
      <c r="BB930" s="186"/>
      <c r="BC930" s="186"/>
      <c r="BD930" s="186"/>
      <c r="BE930" s="186"/>
      <c r="BF930" s="186"/>
      <c r="BG930" s="186"/>
      <c r="BH930" s="186"/>
      <c r="BI930" s="186"/>
      <c r="BJ930" s="186"/>
      <c r="BK930" s="186"/>
      <c r="BL930" s="186"/>
      <c r="BM930" s="186"/>
      <c r="BN930" s="186"/>
      <c r="BO930" s="186"/>
      <c r="BP930" s="186"/>
      <c r="BQ930" s="186"/>
      <c r="BR930" s="186"/>
      <c r="BS930" s="186"/>
      <c r="BT930" s="186"/>
      <c r="BU930" s="186"/>
      <c r="BV930" s="186"/>
      <c r="BW930" s="186"/>
    </row>
    <row r="931" spans="1:75" x14ac:dyDescent="0.3">
      <c r="H931" s="186"/>
      <c r="I931" s="186"/>
      <c r="J931" s="186"/>
      <c r="K931" s="194"/>
      <c r="L931" s="186"/>
      <c r="M931" s="186"/>
      <c r="N931" s="186"/>
      <c r="O931" s="186"/>
      <c r="P931" s="186"/>
      <c r="Q931" s="186"/>
      <c r="R931" s="186"/>
      <c r="S931" s="186"/>
      <c r="T931" s="186"/>
      <c r="U931" s="186"/>
      <c r="V931" s="186"/>
      <c r="W931" s="186"/>
      <c r="X931" s="186"/>
      <c r="Y931" s="186"/>
      <c r="Z931" s="186"/>
      <c r="AA931" s="186"/>
      <c r="AB931" s="186"/>
      <c r="AC931" s="186"/>
      <c r="AD931" s="186"/>
      <c r="AE931" s="186"/>
      <c r="AF931" s="186"/>
      <c r="AG931" s="186"/>
      <c r="AH931" s="186"/>
      <c r="AI931" s="186"/>
      <c r="AJ931" s="186"/>
      <c r="AK931" s="186"/>
      <c r="AL931" s="186"/>
      <c r="AM931" s="186"/>
      <c r="AN931" s="186"/>
      <c r="AO931" s="186"/>
      <c r="AP931" s="186"/>
      <c r="AQ931" s="186"/>
      <c r="AR931" s="186"/>
      <c r="AS931" s="186"/>
      <c r="AT931" s="186"/>
      <c r="AU931" s="186"/>
      <c r="AV931" s="186"/>
      <c r="AW931" s="186"/>
      <c r="AX931" s="186"/>
      <c r="AY931" s="186"/>
      <c r="AZ931" s="186"/>
      <c r="BA931" s="186"/>
      <c r="BB931" s="186"/>
      <c r="BC931" s="186"/>
      <c r="BD931" s="186"/>
      <c r="BE931" s="186"/>
      <c r="BF931" s="186"/>
      <c r="BG931" s="186"/>
      <c r="BH931" s="186"/>
      <c r="BI931" s="186"/>
      <c r="BJ931" s="186"/>
      <c r="BK931" s="186"/>
      <c r="BL931" s="186"/>
      <c r="BM931" s="186"/>
      <c r="BN931" s="186"/>
      <c r="BO931" s="186"/>
      <c r="BP931" s="186"/>
      <c r="BQ931" s="186"/>
    </row>
    <row r="932" spans="1:75" x14ac:dyDescent="0.3">
      <c r="H932" s="186"/>
      <c r="I932" s="186"/>
      <c r="J932" s="186"/>
      <c r="K932" s="194"/>
      <c r="L932" s="186"/>
      <c r="M932" s="186"/>
      <c r="N932" s="186"/>
      <c r="O932" s="186"/>
      <c r="P932" s="186"/>
      <c r="Q932" s="186"/>
      <c r="R932" s="186"/>
      <c r="S932" s="186"/>
      <c r="T932" s="186"/>
      <c r="U932" s="186"/>
      <c r="V932" s="186"/>
      <c r="W932" s="186"/>
      <c r="X932" s="186"/>
      <c r="Y932" s="186"/>
      <c r="Z932" s="186"/>
      <c r="AA932" s="186"/>
      <c r="AB932" s="186"/>
      <c r="AC932" s="186"/>
      <c r="AD932" s="186"/>
      <c r="AE932" s="186"/>
      <c r="AF932" s="186"/>
      <c r="AG932" s="186"/>
      <c r="AH932" s="186"/>
      <c r="AI932" s="186"/>
      <c r="AJ932" s="186"/>
      <c r="AK932" s="186"/>
      <c r="AL932" s="186"/>
      <c r="AM932" s="186"/>
      <c r="AN932" s="186"/>
      <c r="AO932" s="186"/>
      <c r="AP932" s="186"/>
      <c r="AQ932" s="186"/>
      <c r="AR932" s="186"/>
      <c r="AS932" s="186"/>
      <c r="AT932" s="186"/>
      <c r="AU932" s="186"/>
      <c r="AV932" s="186"/>
      <c r="AW932" s="186"/>
      <c r="AX932" s="186"/>
      <c r="AY932" s="186"/>
      <c r="AZ932" s="186"/>
      <c r="BA932" s="186"/>
      <c r="BB932" s="186"/>
      <c r="BC932" s="186"/>
      <c r="BD932" s="186"/>
      <c r="BE932" s="186"/>
      <c r="BF932" s="186"/>
      <c r="BG932" s="186"/>
      <c r="BH932" s="186"/>
      <c r="BI932" s="186"/>
      <c r="BJ932" s="186"/>
      <c r="BK932" s="186"/>
      <c r="BL932" s="186"/>
      <c r="BM932" s="186"/>
      <c r="BN932" s="186"/>
      <c r="BO932" s="186"/>
      <c r="BP932" s="186"/>
      <c r="BQ932" s="186"/>
    </row>
    <row r="933" spans="1:75" x14ac:dyDescent="0.3">
      <c r="H933" s="186"/>
      <c r="I933" s="186"/>
      <c r="J933" s="186"/>
      <c r="K933" s="194"/>
      <c r="L933" s="186"/>
      <c r="M933" s="186"/>
      <c r="N933" s="186"/>
      <c r="O933" s="186"/>
      <c r="P933" s="186"/>
      <c r="Q933" s="186"/>
      <c r="R933" s="186"/>
      <c r="S933" s="186"/>
      <c r="T933" s="186"/>
      <c r="U933" s="186"/>
      <c r="V933" s="186"/>
      <c r="W933" s="186"/>
      <c r="X933" s="186"/>
      <c r="Y933" s="186"/>
      <c r="Z933" s="186"/>
      <c r="AA933" s="186"/>
      <c r="AB933" s="186"/>
      <c r="AC933" s="186"/>
      <c r="AD933" s="186"/>
      <c r="AE933" s="186"/>
      <c r="AF933" s="186"/>
      <c r="AG933" s="186"/>
      <c r="AH933" s="186"/>
      <c r="AI933" s="186"/>
      <c r="AJ933" s="186"/>
      <c r="AK933" s="186"/>
      <c r="AL933" s="186"/>
      <c r="AM933" s="186"/>
      <c r="AN933" s="186"/>
      <c r="AO933" s="186"/>
      <c r="AP933" s="186"/>
      <c r="AQ933" s="186"/>
      <c r="AR933" s="186"/>
      <c r="AS933" s="186"/>
      <c r="AT933" s="186"/>
      <c r="AU933" s="186"/>
      <c r="AV933" s="186"/>
      <c r="AW933" s="186"/>
      <c r="AX933" s="186"/>
      <c r="AY933" s="186"/>
      <c r="AZ933" s="186"/>
      <c r="BA933" s="186"/>
      <c r="BB933" s="186"/>
      <c r="BC933" s="186"/>
      <c r="BD933" s="186"/>
      <c r="BE933" s="186"/>
      <c r="BF933" s="186"/>
      <c r="BG933" s="186"/>
      <c r="BH933" s="186"/>
      <c r="BI933" s="186"/>
      <c r="BJ933" s="186"/>
      <c r="BK933" s="186"/>
      <c r="BL933" s="186"/>
      <c r="BM933" s="186"/>
      <c r="BN933" s="186"/>
      <c r="BO933" s="186"/>
      <c r="BP933" s="186"/>
      <c r="BQ933" s="186"/>
    </row>
    <row r="934" spans="1:75" x14ac:dyDescent="0.3">
      <c r="H934" s="186"/>
      <c r="I934" s="186"/>
      <c r="J934" s="186"/>
      <c r="K934" s="194"/>
      <c r="L934" s="186"/>
      <c r="M934" s="186"/>
      <c r="N934" s="186"/>
      <c r="O934" s="186"/>
      <c r="P934" s="186"/>
      <c r="Q934" s="186"/>
      <c r="R934" s="186"/>
      <c r="S934" s="186"/>
      <c r="T934" s="186"/>
      <c r="U934" s="186"/>
      <c r="V934" s="186"/>
      <c r="W934" s="186"/>
      <c r="X934" s="186"/>
      <c r="Y934" s="186"/>
      <c r="Z934" s="186"/>
      <c r="AA934" s="186"/>
      <c r="AB934" s="186"/>
      <c r="AC934" s="186"/>
      <c r="AD934" s="186"/>
      <c r="AE934" s="186"/>
      <c r="AF934" s="186"/>
      <c r="AG934" s="186"/>
      <c r="AH934" s="186"/>
      <c r="AI934" s="186"/>
      <c r="AJ934" s="186"/>
      <c r="AK934" s="186"/>
      <c r="AL934" s="186"/>
      <c r="AM934" s="186"/>
      <c r="AN934" s="186"/>
      <c r="AO934" s="186"/>
      <c r="AP934" s="186"/>
      <c r="AQ934" s="186"/>
      <c r="AR934" s="186"/>
      <c r="AS934" s="186"/>
      <c r="AT934" s="186"/>
      <c r="AU934" s="186"/>
      <c r="AV934" s="186"/>
      <c r="AW934" s="186"/>
      <c r="AX934" s="186"/>
      <c r="AY934" s="186"/>
      <c r="AZ934" s="186"/>
      <c r="BA934" s="186"/>
      <c r="BB934" s="186"/>
      <c r="BC934" s="186"/>
      <c r="BD934" s="186"/>
      <c r="BE934" s="186"/>
      <c r="BF934" s="186"/>
      <c r="BG934" s="186"/>
      <c r="BH934" s="186"/>
      <c r="BI934" s="186"/>
      <c r="BJ934" s="186"/>
      <c r="BK934" s="186"/>
      <c r="BL934" s="186"/>
      <c r="BM934" s="186"/>
      <c r="BN934" s="186"/>
      <c r="BO934" s="186"/>
      <c r="BP934" s="186"/>
      <c r="BQ934" s="186"/>
    </row>
    <row r="935" spans="1:75" x14ac:dyDescent="0.3">
      <c r="H935" s="186"/>
      <c r="I935" s="186"/>
      <c r="J935" s="186"/>
      <c r="K935" s="194"/>
      <c r="L935" s="186"/>
      <c r="M935" s="186"/>
      <c r="N935" s="186"/>
      <c r="O935" s="186"/>
      <c r="P935" s="186"/>
      <c r="Q935" s="186"/>
      <c r="R935" s="186"/>
      <c r="S935" s="186"/>
      <c r="T935" s="186"/>
      <c r="U935" s="186"/>
      <c r="V935" s="186"/>
      <c r="W935" s="186"/>
      <c r="X935" s="186"/>
      <c r="Y935" s="186"/>
      <c r="Z935" s="186"/>
      <c r="AA935" s="186"/>
      <c r="AB935" s="186"/>
      <c r="AC935" s="186"/>
      <c r="AD935" s="186"/>
      <c r="AE935" s="186"/>
      <c r="AF935" s="186"/>
      <c r="AG935" s="186"/>
      <c r="AH935" s="186"/>
      <c r="AI935" s="186"/>
      <c r="AJ935" s="186"/>
      <c r="AK935" s="186"/>
      <c r="AL935" s="186"/>
      <c r="AM935" s="186"/>
      <c r="AN935" s="186"/>
      <c r="AO935" s="186"/>
      <c r="AP935" s="186"/>
      <c r="AQ935" s="186"/>
      <c r="AR935" s="186"/>
      <c r="AS935" s="186"/>
      <c r="AT935" s="186"/>
      <c r="AU935" s="186"/>
      <c r="AV935" s="186"/>
      <c r="AW935" s="186"/>
      <c r="AX935" s="186"/>
      <c r="AY935" s="186"/>
      <c r="AZ935" s="186"/>
      <c r="BA935" s="186"/>
      <c r="BB935" s="186"/>
      <c r="BC935" s="186"/>
      <c r="BD935" s="186"/>
      <c r="BE935" s="186"/>
      <c r="BF935" s="186"/>
      <c r="BG935" s="186"/>
      <c r="BH935" s="186"/>
      <c r="BI935" s="186"/>
      <c r="BJ935" s="186"/>
      <c r="BK935" s="186"/>
      <c r="BL935" s="186"/>
      <c r="BM935" s="186"/>
      <c r="BN935" s="186"/>
      <c r="BO935" s="186"/>
      <c r="BP935" s="186"/>
      <c r="BQ935" s="186"/>
    </row>
    <row r="936" spans="1:75" x14ac:dyDescent="0.3">
      <c r="H936" s="186"/>
      <c r="I936" s="186"/>
      <c r="J936" s="186"/>
      <c r="K936" s="194"/>
      <c r="L936" s="186"/>
      <c r="M936" s="186"/>
      <c r="N936" s="186"/>
      <c r="O936" s="186"/>
      <c r="P936" s="186"/>
      <c r="Q936" s="186"/>
      <c r="R936" s="186"/>
      <c r="S936" s="186"/>
      <c r="T936" s="186"/>
      <c r="U936" s="186"/>
      <c r="V936" s="186"/>
      <c r="W936" s="186"/>
      <c r="X936" s="186"/>
      <c r="Y936" s="186"/>
      <c r="Z936" s="186"/>
      <c r="AA936" s="186"/>
      <c r="AB936" s="186"/>
      <c r="AC936" s="186"/>
      <c r="AD936" s="186"/>
      <c r="AE936" s="186"/>
      <c r="AF936" s="186"/>
      <c r="AG936" s="186"/>
      <c r="AH936" s="186"/>
      <c r="AI936" s="186"/>
      <c r="AJ936" s="186"/>
      <c r="AK936" s="186"/>
      <c r="AL936" s="186"/>
      <c r="AM936" s="186"/>
      <c r="AN936" s="186"/>
      <c r="AO936" s="186"/>
      <c r="AP936" s="186"/>
      <c r="AQ936" s="186"/>
      <c r="AR936" s="186"/>
      <c r="AS936" s="186"/>
      <c r="AT936" s="186"/>
      <c r="AU936" s="186"/>
      <c r="AV936" s="186"/>
      <c r="AW936" s="186"/>
      <c r="AX936" s="186"/>
      <c r="AY936" s="186"/>
      <c r="AZ936" s="186"/>
      <c r="BA936" s="186"/>
      <c r="BB936" s="186"/>
      <c r="BC936" s="186"/>
      <c r="BD936" s="186"/>
      <c r="BE936" s="186"/>
      <c r="BF936" s="186"/>
      <c r="BG936" s="186"/>
      <c r="BH936" s="186"/>
      <c r="BI936" s="186"/>
      <c r="BJ936" s="186"/>
      <c r="BK936" s="186"/>
      <c r="BL936" s="186"/>
      <c r="BM936" s="186"/>
      <c r="BN936" s="186"/>
      <c r="BO936" s="186"/>
      <c r="BP936" s="186"/>
      <c r="BQ936" s="186"/>
    </row>
    <row r="937" spans="1:75" x14ac:dyDescent="0.3">
      <c r="H937" s="186"/>
      <c r="I937" s="186"/>
      <c r="J937" s="186"/>
      <c r="K937" s="194"/>
      <c r="L937" s="186"/>
      <c r="M937" s="186"/>
      <c r="N937" s="186"/>
      <c r="O937" s="186"/>
      <c r="P937" s="186"/>
      <c r="Q937" s="186"/>
      <c r="R937" s="186"/>
      <c r="S937" s="186"/>
      <c r="T937" s="186"/>
      <c r="U937" s="186"/>
      <c r="V937" s="186"/>
      <c r="W937" s="186"/>
      <c r="X937" s="186"/>
      <c r="Y937" s="186"/>
      <c r="Z937" s="186"/>
      <c r="AA937" s="186"/>
      <c r="AB937" s="186"/>
      <c r="AC937" s="186"/>
      <c r="AD937" s="186"/>
      <c r="AE937" s="186"/>
      <c r="AF937" s="186"/>
      <c r="AG937" s="186"/>
      <c r="AH937" s="186"/>
      <c r="AI937" s="186"/>
      <c r="AJ937" s="186"/>
      <c r="AK937" s="186"/>
      <c r="AL937" s="186"/>
      <c r="AM937" s="186"/>
      <c r="AN937" s="186"/>
      <c r="AO937" s="186"/>
      <c r="AP937" s="186"/>
      <c r="AQ937" s="186"/>
      <c r="AR937" s="186"/>
      <c r="AS937" s="186"/>
      <c r="AT937" s="186"/>
      <c r="AU937" s="186"/>
      <c r="AV937" s="186"/>
      <c r="AW937" s="186"/>
      <c r="AX937" s="186"/>
      <c r="AY937" s="186"/>
      <c r="AZ937" s="186"/>
      <c r="BA937" s="186"/>
      <c r="BB937" s="186"/>
      <c r="BC937" s="186"/>
      <c r="BD937" s="186"/>
      <c r="BE937" s="186"/>
      <c r="BF937" s="186"/>
      <c r="BG937" s="186"/>
      <c r="BH937" s="186"/>
      <c r="BI937" s="186"/>
      <c r="BJ937" s="186"/>
      <c r="BK937" s="186"/>
      <c r="BL937" s="186"/>
      <c r="BM937" s="186"/>
      <c r="BN937" s="186"/>
      <c r="BO937" s="186"/>
      <c r="BP937" s="186"/>
      <c r="BQ937" s="186"/>
    </row>
    <row r="938" spans="1:75" x14ac:dyDescent="0.3">
      <c r="H938" s="186"/>
      <c r="I938" s="186"/>
      <c r="J938" s="186"/>
      <c r="K938" s="194"/>
      <c r="L938" s="186"/>
      <c r="M938" s="186"/>
      <c r="N938" s="186"/>
      <c r="O938" s="186"/>
      <c r="P938" s="186"/>
      <c r="Q938" s="186"/>
      <c r="R938" s="186"/>
      <c r="S938" s="186"/>
      <c r="T938" s="186"/>
      <c r="U938" s="186"/>
      <c r="V938" s="186"/>
      <c r="W938" s="186"/>
      <c r="X938" s="186"/>
      <c r="Y938" s="186"/>
      <c r="Z938" s="186"/>
      <c r="AA938" s="186"/>
      <c r="AB938" s="186"/>
      <c r="AC938" s="186"/>
      <c r="AD938" s="186"/>
      <c r="AE938" s="186"/>
      <c r="AF938" s="186"/>
      <c r="AG938" s="186"/>
      <c r="AH938" s="186"/>
      <c r="AI938" s="186"/>
      <c r="AJ938" s="186"/>
      <c r="AK938" s="186"/>
      <c r="AL938" s="186"/>
      <c r="AM938" s="186"/>
      <c r="AN938" s="186"/>
      <c r="AO938" s="186"/>
      <c r="AP938" s="186"/>
      <c r="AQ938" s="186"/>
      <c r="AR938" s="186"/>
      <c r="AS938" s="186"/>
      <c r="AT938" s="186"/>
      <c r="AU938" s="186"/>
      <c r="AV938" s="186"/>
      <c r="AW938" s="186"/>
      <c r="AX938" s="186"/>
      <c r="AY938" s="186"/>
      <c r="AZ938" s="186"/>
      <c r="BA938" s="186"/>
      <c r="BB938" s="186"/>
      <c r="BC938" s="186"/>
      <c r="BD938" s="186"/>
      <c r="BE938" s="186"/>
      <c r="BF938" s="186"/>
      <c r="BG938" s="186"/>
      <c r="BH938" s="186"/>
      <c r="BI938" s="186"/>
      <c r="BJ938" s="186"/>
      <c r="BK938" s="186"/>
      <c r="BL938" s="186"/>
      <c r="BM938" s="186"/>
      <c r="BN938" s="186"/>
      <c r="BO938" s="186"/>
      <c r="BP938" s="186"/>
      <c r="BQ938" s="186"/>
    </row>
    <row r="939" spans="1:75" x14ac:dyDescent="0.3">
      <c r="J939" s="186"/>
      <c r="K939" s="194"/>
      <c r="L939" s="186"/>
      <c r="M939" s="186"/>
      <c r="N939" s="186"/>
      <c r="O939" s="186"/>
      <c r="P939" s="186"/>
    </row>
    <row r="940" spans="1:75" x14ac:dyDescent="0.3">
      <c r="J940" s="186"/>
      <c r="K940" s="194"/>
      <c r="L940" s="186"/>
      <c r="M940" s="186"/>
      <c r="N940" s="186"/>
      <c r="O940" s="186"/>
      <c r="P940" s="186"/>
    </row>
  </sheetData>
  <mergeCells count="33">
    <mergeCell ref="A49:E51"/>
    <mergeCell ref="A97:E99"/>
    <mergeCell ref="F97:G99"/>
    <mergeCell ref="A1:P1"/>
    <mergeCell ref="A4:E6"/>
    <mergeCell ref="F4:G6"/>
    <mergeCell ref="F352:G354"/>
    <mergeCell ref="A163:E165"/>
    <mergeCell ref="F163:G165"/>
    <mergeCell ref="A275:E277"/>
    <mergeCell ref="F275:G277"/>
    <mergeCell ref="A888:E890"/>
    <mergeCell ref="F888:G890"/>
    <mergeCell ref="A715:E717"/>
    <mergeCell ref="F715:G717"/>
    <mergeCell ref="A787:E789"/>
    <mergeCell ref="F787:G789"/>
    <mergeCell ref="F49:G51"/>
    <mergeCell ref="F293:G295"/>
    <mergeCell ref="H591:I593"/>
    <mergeCell ref="A534:E536"/>
    <mergeCell ref="F534:G536"/>
    <mergeCell ref="A570:E572"/>
    <mergeCell ref="F570:G572"/>
    <mergeCell ref="A588:P588"/>
    <mergeCell ref="A591:E593"/>
    <mergeCell ref="F591:G593"/>
    <mergeCell ref="A366:E368"/>
    <mergeCell ref="F366:G368"/>
    <mergeCell ref="A432:E434"/>
    <mergeCell ref="F432:G434"/>
    <mergeCell ref="A293:E295"/>
    <mergeCell ref="A352:E354"/>
  </mergeCells>
  <hyperlinks>
    <hyperlink ref="E96" r:id="rId1" display="../../../../../../../../../../:b:/g/personal/giacomo_valente_univaq_it/EVU6RNnDhBNGqYID0ldr4kUBHW_zOMMcXd2ocDNB1xozUg?e=gEXeb6" xr:uid="{E1BA65F0-9606-447B-9B18-5BA8FEAD78F2}"/>
    <hyperlink ref="E3" r:id="rId2" display="../../../../../../../../../../:b:/g/personal/giacomo_valente_univaq_it/EXSkrevHIIxPsE7Y3gKc838BPdLu2CCLfDpD0EzecV-Ctw?e=g0Sgve" xr:uid="{C1C92B69-64C0-4FBE-989E-C611E8C77359}"/>
    <hyperlink ref="E48" r:id="rId3" display="../../../../../../../../../../:b:/g/personal/giacomo_valente_univaq_it/ETPG0B5McudPirNtZnnc-2QB37M3WwPiL4B2I0xnp7nbhg?e=LGFxpv" xr:uid="{203F4831-ED98-41A4-A396-51492AD587DC}"/>
    <hyperlink ref="E292" r:id="rId4" display="../../../../../../../../../../:b:/g/personal/giacomo_valente_univaq_it/EVL14rKOlMBHlmWhfwyUlEMBJuMCjRyYnYbT6Q0yeTC1Rw?e=1QXxSF" xr:uid="{F3C11775-71C7-421D-99C8-164996DD73B9}"/>
    <hyperlink ref="E274" r:id="rId5" display="../../../../../../../../../../:b:/g/personal/giacomo_valente_univaq_it/ERJQtN8ijetMvKJcJbblUCABqKrv-lhFU5Rhf-hvJZ78-w?e=DLDtkd" xr:uid="{C1E60E8D-DA1E-4B0D-A297-1EEFE67AAF79}"/>
    <hyperlink ref="E351" r:id="rId6" display="../../../../../../../../../../:b:/g/personal/giacomo_valente_univaq_it/EbUmy-nl9_1BoxKWHraaC3gBrokcnxQTBQtB7R9bFhHk0A?e=lfGBjj" xr:uid="{298F58CC-B169-4ED7-8226-3E1B5A778CF6}"/>
    <hyperlink ref="E365" r:id="rId7" display="../../../../../../../../../../:b:/g/personal/giacomo_valente_univaq_it/EZjKW-HD1_lEvBUSvJkj7zcBwkLmrFeGmOP35tgsgZiaZw?e=SuD6Ju" xr:uid="{C14FC2EC-F186-498C-A7AA-F12B8A22B306}"/>
    <hyperlink ref="E431" r:id="rId8" display="../../../../../../../../../../:b:/g/personal/giacomo_valente_univaq_it/EZCT6jLD_jFPo2M59tp54CoB2691sv0qahctF4tZpu245g?e=rmIfVn" xr:uid="{8DC217C1-EA12-4FCA-87FB-356BD55E58AE}"/>
    <hyperlink ref="E590" r:id="rId9" display="../../../../../../../../../../:b:/g/personal/giacomo_valente_univaq_it/ESWt5h_SYqVNmfolHyRo9ncBtzEznIu9OxaVrLIHAQ4qlw?e=WIjznp" xr:uid="{E4F71951-C90A-4072-B55E-F8CED6C63129}"/>
    <hyperlink ref="E714" r:id="rId10" display="../../../../../../../../../../:b:/g/personal/giacomo_valente_univaq_it/EbPpjSjTH7lEh8qz3Be0UMsB5YBXvz-TeWJLHH1iFIGmqA?e=7tmNoG" xr:uid="{3F6FFD86-A078-475D-875B-7DA2BC658842}"/>
    <hyperlink ref="E887" r:id="rId11" xr:uid="{605B2C0F-34C3-4696-A0CD-7CF1EC84A2D6}"/>
    <hyperlink ref="E786" r:id="rId12" display="../../../../../../../../../../:b:/g/personal/giacomo_valente_univaq_it/EfKKaDC0XxFCqTfZ3lr8mvwBrrNUjFEQNmdSl2vKsXIc-A?e=wtJRzU" xr:uid="{C8A2B409-ECF9-4FBF-8734-569CB1CF0941}"/>
    <hyperlink ref="E162" r:id="rId13" xr:uid="{DD423E48-E576-4955-86C9-F377ADE66E8B}"/>
    <hyperlink ref="G679" r:id="rId14" display="../../../../../../../../../../:b:/g/personal/giacomo_valente_univaq_it/IQD0zAaRBzbpRJISJp7N7uDGAbHgOSLhlXSi1DumqJAYZ00?e=7f7EeK" xr:uid="{6E56F3A1-FB60-4A8C-AE56-6E90FD1BB780}"/>
  </hyperlinks>
  <pageMargins left="0.75" right="0.75" top="1" bottom="1" header="0.5" footer="0.5"/>
  <tableParts count="15">
    <tablePart r:id="rId15"/>
    <tablePart r:id="rId16"/>
    <tablePart r:id="rId17"/>
    <tablePart r:id="rId18"/>
    <tablePart r:id="rId19"/>
    <tablePart r:id="rId20"/>
    <tablePart r:id="rId21"/>
    <tablePart r:id="rId22"/>
    <tablePart r:id="rId23"/>
    <tablePart r:id="rId24"/>
    <tablePart r:id="rId25"/>
    <tablePart r:id="rId26"/>
    <tablePart r:id="rId27"/>
    <tablePart r:id="rId28"/>
    <tablePart r:id="rId29"/>
  </tableParts>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STAGE 5.1 - FW BW Snowballing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Leonardo Fazzini</cp:lastModifiedBy>
  <dcterms:created xsi:type="dcterms:W3CDTF">2026-04-09T08:54:02Z</dcterms:created>
  <dcterms:modified xsi:type="dcterms:W3CDTF">2026-04-09T15:44:53Z</dcterms:modified>
</cp:coreProperties>
</file>